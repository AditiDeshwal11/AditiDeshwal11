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55\EXCELCNV\e8f9753f-5a12-4a21-a8d8-27cf49536940\"/>
    </mc:Choice>
  </mc:AlternateContent>
  <xr:revisionPtr revIDLastSave="0" documentId="8_{831D2023-4FA2-440B-A326-9A036733B9F8}" xr6:coauthVersionLast="47" xr6:coauthVersionMax="47" xr10:uidLastSave="{00000000-0000-0000-0000-000000000000}"/>
  <bookViews>
    <workbookView xWindow="-60" yWindow="-60" windowWidth="15480" windowHeight="11640" firstSheet="3" activeTab="4" xr2:uid="{EB2E4FEF-87FC-41B1-A4D1-5C236654D685}"/>
  </bookViews>
  <sheets>
    <sheet name="Gender Analysis" sheetId="3" r:id="rId1"/>
    <sheet name="Risk Analysis" sheetId="4" r:id="rId2"/>
    <sheet name="Age Analysis" sheetId="5" r:id="rId3"/>
    <sheet name="Performance Matrix" sheetId="6" r:id="rId4"/>
    <sheet name="studentdata" sheetId="1" r:id="rId5"/>
    <sheet name="Analysis" sheetId="2" r:id="rId6"/>
    <sheet name="Dashboard." sheetId="7" r:id="rId7"/>
  </sheets>
  <calcPr calcId="191028"/>
  <pivotCaches>
    <pivotCache cacheId="67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B4" i="2"/>
  <c r="B3" i="2"/>
  <c r="L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O2" i="1" s="1"/>
  <c r="M3" i="1" l="1"/>
  <c r="N3" i="1" s="1" a="1"/>
  <c r="N3" i="1" s="1"/>
  <c r="O3" i="1"/>
  <c r="M4" i="1"/>
  <c r="N4" i="1" s="1" a="1"/>
  <c r="N4" i="1" s="1"/>
  <c r="O4" i="1"/>
  <c r="M5" i="1"/>
  <c r="N5" i="1" s="1" a="1"/>
  <c r="N5" i="1" s="1"/>
  <c r="O5" i="1"/>
  <c r="M6" i="1"/>
  <c r="N6" i="1" s="1" a="1"/>
  <c r="N6" i="1" s="1"/>
  <c r="O6" i="1"/>
  <c r="M7" i="1"/>
  <c r="N7" i="1" s="1" a="1"/>
  <c r="N7" i="1" s="1"/>
  <c r="O7" i="1"/>
  <c r="M8" i="1"/>
  <c r="N8" i="1" s="1" a="1"/>
  <c r="N8" i="1" s="1"/>
  <c r="O8" i="1"/>
  <c r="M9" i="1"/>
  <c r="N9" i="1" s="1" a="1"/>
  <c r="N9" i="1" s="1"/>
  <c r="O9" i="1"/>
  <c r="M10" i="1"/>
  <c r="N10" i="1" s="1" a="1"/>
  <c r="N10" i="1" s="1"/>
  <c r="O10" i="1"/>
  <c r="M11" i="1"/>
  <c r="N11" i="1" s="1" a="1"/>
  <c r="N11" i="1" s="1"/>
  <c r="O11" i="1"/>
  <c r="M12" i="1"/>
  <c r="N12" i="1" s="1" a="1"/>
  <c r="N12" i="1" s="1"/>
  <c r="O12" i="1"/>
  <c r="M13" i="1"/>
  <c r="N13" i="1" s="1" a="1"/>
  <c r="N13" i="1" s="1"/>
  <c r="O13" i="1"/>
  <c r="M14" i="1"/>
  <c r="N14" i="1" s="1" a="1"/>
  <c r="N14" i="1" s="1"/>
  <c r="O14" i="1"/>
  <c r="M15" i="1"/>
  <c r="N15" i="1" s="1" a="1"/>
  <c r="N15" i="1" s="1"/>
  <c r="O15" i="1"/>
  <c r="M16" i="1"/>
  <c r="N16" i="1" s="1" a="1"/>
  <c r="N16" i="1" s="1"/>
  <c r="O16" i="1"/>
  <c r="M17" i="1"/>
  <c r="N17" i="1" s="1" a="1"/>
  <c r="N17" i="1" s="1"/>
  <c r="O17" i="1"/>
  <c r="M18" i="1"/>
  <c r="N18" i="1" s="1" a="1"/>
  <c r="N18" i="1" s="1"/>
  <c r="O18" i="1"/>
  <c r="M19" i="1"/>
  <c r="N19" i="1" s="1" a="1"/>
  <c r="N19" i="1" s="1"/>
  <c r="O19" i="1"/>
  <c r="M20" i="1"/>
  <c r="N20" i="1" s="1" a="1"/>
  <c r="N20" i="1" s="1"/>
  <c r="O20" i="1"/>
  <c r="M21" i="1"/>
  <c r="N21" i="1" s="1" a="1"/>
  <c r="N21" i="1" s="1"/>
  <c r="O21" i="1"/>
  <c r="M22" i="1"/>
  <c r="N22" i="1" s="1" a="1"/>
  <c r="N22" i="1" s="1"/>
  <c r="O22" i="1"/>
  <c r="M23" i="1"/>
  <c r="N23" i="1" s="1" a="1"/>
  <c r="N23" i="1" s="1"/>
  <c r="O23" i="1"/>
  <c r="M24" i="1"/>
  <c r="N24" i="1" s="1" a="1"/>
  <c r="N24" i="1" s="1"/>
  <c r="O24" i="1"/>
  <c r="M25" i="1"/>
  <c r="N25" i="1" s="1" a="1"/>
  <c r="N25" i="1" s="1"/>
  <c r="O25" i="1"/>
  <c r="M26" i="1"/>
  <c r="N26" i="1" s="1" a="1"/>
  <c r="N26" i="1" s="1"/>
  <c r="O26" i="1"/>
  <c r="M27" i="1"/>
  <c r="N27" i="1" s="1" a="1"/>
  <c r="N27" i="1" s="1"/>
  <c r="O27" i="1"/>
  <c r="M28" i="1"/>
  <c r="N28" i="1" s="1" a="1"/>
  <c r="N28" i="1" s="1"/>
  <c r="O28" i="1"/>
  <c r="M29" i="1"/>
  <c r="N29" i="1" s="1" a="1"/>
  <c r="N29" i="1" s="1"/>
  <c r="O29" i="1"/>
  <c r="M30" i="1"/>
  <c r="N30" i="1" s="1" a="1"/>
  <c r="N30" i="1" s="1"/>
  <c r="O30" i="1"/>
  <c r="M31" i="1"/>
  <c r="N31" i="1" s="1" a="1"/>
  <c r="N31" i="1" s="1"/>
  <c r="O31" i="1"/>
  <c r="M32" i="1"/>
  <c r="N32" i="1" s="1" a="1"/>
  <c r="N32" i="1" s="1"/>
  <c r="O32" i="1"/>
  <c r="M33" i="1"/>
  <c r="N33" i="1" s="1" a="1"/>
  <c r="N33" i="1" s="1"/>
  <c r="O33" i="1"/>
  <c r="M34" i="1"/>
  <c r="N34" i="1" s="1" a="1"/>
  <c r="N34" i="1" s="1"/>
  <c r="O34" i="1"/>
  <c r="M35" i="1"/>
  <c r="N35" i="1" s="1" a="1"/>
  <c r="N35" i="1" s="1"/>
  <c r="O35" i="1"/>
  <c r="M36" i="1"/>
  <c r="N36" i="1" s="1" a="1"/>
  <c r="N36" i="1" s="1"/>
  <c r="O36" i="1"/>
  <c r="M37" i="1"/>
  <c r="N37" i="1" s="1" a="1"/>
  <c r="N37" i="1" s="1"/>
  <c r="O37" i="1"/>
  <c r="M38" i="1"/>
  <c r="N38" i="1" s="1" a="1"/>
  <c r="N38" i="1" s="1"/>
  <c r="O38" i="1"/>
  <c r="M39" i="1"/>
  <c r="N39" i="1" s="1" a="1"/>
  <c r="N39" i="1" s="1"/>
  <c r="O39" i="1"/>
  <c r="M40" i="1"/>
  <c r="N40" i="1" s="1" a="1"/>
  <c r="N40" i="1" s="1"/>
  <c r="O40" i="1"/>
  <c r="M41" i="1"/>
  <c r="N41" i="1" s="1" a="1"/>
  <c r="N41" i="1" s="1"/>
  <c r="O41" i="1"/>
  <c r="M42" i="1"/>
  <c r="N42" i="1" s="1" a="1"/>
  <c r="N42" i="1" s="1"/>
  <c r="O42" i="1"/>
  <c r="M43" i="1"/>
  <c r="N43" i="1" s="1" a="1"/>
  <c r="N43" i="1" s="1"/>
  <c r="O43" i="1"/>
  <c r="M44" i="1"/>
  <c r="N44" i="1" s="1" a="1"/>
  <c r="N44" i="1" s="1"/>
  <c r="O44" i="1"/>
  <c r="M45" i="1"/>
  <c r="N45" i="1" s="1" a="1"/>
  <c r="N45" i="1" s="1"/>
  <c r="O45" i="1"/>
  <c r="M46" i="1"/>
  <c r="N46" i="1" s="1" a="1"/>
  <c r="N46" i="1" s="1"/>
  <c r="O46" i="1"/>
  <c r="M47" i="1"/>
  <c r="N47" i="1" s="1" a="1"/>
  <c r="N47" i="1" s="1"/>
  <c r="O47" i="1"/>
  <c r="M48" i="1"/>
  <c r="N48" i="1" s="1" a="1"/>
  <c r="N48" i="1" s="1"/>
  <c r="O48" i="1"/>
  <c r="M49" i="1"/>
  <c r="N49" i="1" s="1" a="1"/>
  <c r="N49" i="1" s="1"/>
  <c r="O49" i="1"/>
  <c r="M50" i="1"/>
  <c r="N50" i="1" s="1" a="1"/>
  <c r="N50" i="1" s="1"/>
  <c r="O50" i="1"/>
  <c r="M51" i="1"/>
  <c r="N51" i="1" s="1" a="1"/>
  <c r="N51" i="1" s="1"/>
  <c r="O51" i="1"/>
  <c r="M52" i="1"/>
  <c r="N52" i="1" s="1" a="1"/>
  <c r="N52" i="1" s="1"/>
  <c r="O52" i="1"/>
  <c r="M53" i="1"/>
  <c r="N53" i="1" s="1" a="1"/>
  <c r="N53" i="1" s="1"/>
  <c r="O53" i="1"/>
  <c r="M54" i="1"/>
  <c r="N54" i="1" s="1" a="1"/>
  <c r="N54" i="1" s="1"/>
  <c r="O54" i="1"/>
  <c r="M55" i="1"/>
  <c r="N55" i="1" s="1" a="1"/>
  <c r="N55" i="1" s="1"/>
  <c r="O55" i="1"/>
  <c r="M56" i="1"/>
  <c r="N56" i="1" s="1" a="1"/>
  <c r="N56" i="1" s="1"/>
  <c r="O56" i="1"/>
  <c r="M57" i="1"/>
  <c r="N57" i="1" s="1" a="1"/>
  <c r="N57" i="1" s="1"/>
  <c r="O57" i="1"/>
  <c r="M58" i="1"/>
  <c r="N58" i="1" s="1" a="1"/>
  <c r="N58" i="1" s="1"/>
  <c r="O58" i="1"/>
  <c r="M59" i="1"/>
  <c r="N59" i="1" s="1" a="1"/>
  <c r="N59" i="1" s="1"/>
  <c r="O59" i="1"/>
  <c r="M60" i="1"/>
  <c r="N60" i="1" s="1" a="1"/>
  <c r="N60" i="1" s="1"/>
  <c r="O60" i="1"/>
  <c r="M61" i="1"/>
  <c r="N61" i="1" s="1" a="1"/>
  <c r="N61" i="1" s="1"/>
  <c r="O61" i="1"/>
  <c r="M62" i="1"/>
  <c r="N62" i="1" s="1" a="1"/>
  <c r="N62" i="1" s="1"/>
  <c r="O62" i="1"/>
  <c r="M63" i="1"/>
  <c r="N63" i="1" s="1" a="1"/>
  <c r="N63" i="1" s="1"/>
  <c r="O63" i="1"/>
  <c r="M64" i="1"/>
  <c r="N64" i="1" s="1" a="1"/>
  <c r="N64" i="1" s="1"/>
  <c r="O64" i="1"/>
  <c r="M65" i="1"/>
  <c r="N65" i="1" s="1" a="1"/>
  <c r="N65" i="1" s="1"/>
  <c r="O65" i="1"/>
  <c r="M66" i="1"/>
  <c r="N66" i="1" s="1" a="1"/>
  <c r="N66" i="1" s="1"/>
  <c r="O66" i="1"/>
  <c r="M67" i="1"/>
  <c r="N67" i="1" s="1" a="1"/>
  <c r="N67" i="1" s="1"/>
  <c r="O67" i="1"/>
  <c r="M68" i="1"/>
  <c r="N68" i="1" s="1" a="1"/>
  <c r="N68" i="1" s="1"/>
  <c r="O68" i="1"/>
  <c r="M69" i="1"/>
  <c r="N69" i="1" s="1" a="1"/>
  <c r="N69" i="1" s="1"/>
  <c r="O69" i="1"/>
  <c r="M70" i="1"/>
  <c r="N70" i="1" s="1" a="1"/>
  <c r="N70" i="1" s="1"/>
  <c r="O70" i="1"/>
  <c r="M71" i="1"/>
  <c r="N71" i="1" s="1" a="1"/>
  <c r="N71" i="1" s="1"/>
  <c r="O71" i="1"/>
  <c r="M72" i="1"/>
  <c r="N72" i="1" s="1" a="1"/>
  <c r="N72" i="1" s="1"/>
  <c r="O72" i="1"/>
  <c r="M73" i="1"/>
  <c r="N73" i="1" s="1" a="1"/>
  <c r="N73" i="1" s="1"/>
  <c r="O73" i="1"/>
  <c r="M74" i="1"/>
  <c r="N74" i="1" s="1" a="1"/>
  <c r="N74" i="1" s="1"/>
  <c r="O74" i="1"/>
  <c r="M75" i="1"/>
  <c r="N75" i="1" s="1" a="1"/>
  <c r="N75" i="1" s="1"/>
  <c r="O75" i="1"/>
  <c r="M76" i="1"/>
  <c r="N76" i="1" s="1" a="1"/>
  <c r="N76" i="1" s="1"/>
  <c r="O76" i="1"/>
  <c r="M77" i="1"/>
  <c r="N77" i="1" s="1" a="1"/>
  <c r="N77" i="1" s="1"/>
  <c r="O77" i="1"/>
  <c r="M78" i="1"/>
  <c r="N78" i="1" s="1" a="1"/>
  <c r="N78" i="1" s="1"/>
  <c r="O78" i="1"/>
  <c r="M79" i="1"/>
  <c r="N79" i="1" s="1" a="1"/>
  <c r="N79" i="1" s="1"/>
  <c r="O79" i="1"/>
  <c r="M80" i="1"/>
  <c r="N80" i="1" s="1" a="1"/>
  <c r="N80" i="1" s="1"/>
  <c r="O80" i="1"/>
  <c r="M81" i="1"/>
  <c r="N81" i="1" s="1" a="1"/>
  <c r="N81" i="1" s="1"/>
  <c r="O81" i="1"/>
  <c r="M82" i="1"/>
  <c r="N82" i="1" s="1" a="1"/>
  <c r="N82" i="1" s="1"/>
  <c r="O82" i="1"/>
  <c r="M83" i="1"/>
  <c r="N83" i="1" s="1" a="1"/>
  <c r="N83" i="1" s="1"/>
  <c r="O83" i="1"/>
  <c r="M84" i="1"/>
  <c r="N84" i="1" s="1" a="1"/>
  <c r="N84" i="1" s="1"/>
  <c r="O84" i="1"/>
  <c r="M85" i="1"/>
  <c r="N85" i="1" s="1" a="1"/>
  <c r="N85" i="1" s="1"/>
  <c r="O85" i="1"/>
  <c r="M86" i="1"/>
  <c r="N86" i="1" s="1" a="1"/>
  <c r="N86" i="1" s="1"/>
  <c r="O86" i="1"/>
  <c r="M87" i="1"/>
  <c r="N87" i="1" s="1" a="1"/>
  <c r="N87" i="1" s="1"/>
  <c r="O87" i="1"/>
  <c r="M88" i="1"/>
  <c r="N88" i="1" s="1" a="1"/>
  <c r="N88" i="1" s="1"/>
  <c r="O88" i="1"/>
  <c r="M89" i="1"/>
  <c r="N89" i="1" s="1" a="1"/>
  <c r="N89" i="1" s="1"/>
  <c r="O89" i="1"/>
  <c r="M90" i="1"/>
  <c r="N90" i="1" s="1" a="1"/>
  <c r="N90" i="1" s="1"/>
  <c r="O90" i="1"/>
  <c r="M91" i="1"/>
  <c r="N91" i="1" s="1" a="1"/>
  <c r="N91" i="1" s="1"/>
  <c r="O91" i="1"/>
  <c r="M92" i="1"/>
  <c r="N92" i="1" s="1" a="1"/>
  <c r="N92" i="1" s="1"/>
  <c r="O92" i="1"/>
  <c r="M93" i="1"/>
  <c r="N93" i="1" s="1" a="1"/>
  <c r="N93" i="1" s="1"/>
  <c r="O93" i="1"/>
  <c r="M94" i="1"/>
  <c r="N94" i="1" s="1" a="1"/>
  <c r="N94" i="1" s="1"/>
  <c r="O94" i="1"/>
  <c r="M95" i="1"/>
  <c r="N95" i="1" s="1" a="1"/>
  <c r="N95" i="1" s="1"/>
  <c r="O95" i="1"/>
  <c r="M96" i="1"/>
  <c r="N96" i="1" s="1" a="1"/>
  <c r="N96" i="1" s="1"/>
  <c r="O96" i="1"/>
  <c r="M97" i="1"/>
  <c r="N97" i="1" s="1" a="1"/>
  <c r="N97" i="1" s="1"/>
  <c r="O97" i="1"/>
  <c r="M98" i="1"/>
  <c r="N98" i="1" s="1" a="1"/>
  <c r="N98" i="1" s="1"/>
  <c r="O98" i="1"/>
  <c r="M99" i="1"/>
  <c r="N99" i="1" s="1" a="1"/>
  <c r="N99" i="1" s="1"/>
  <c r="O99" i="1"/>
  <c r="M100" i="1"/>
  <c r="N100" i="1" s="1" a="1"/>
  <c r="N100" i="1" s="1"/>
  <c r="O100" i="1"/>
  <c r="M101" i="1"/>
  <c r="N101" i="1" s="1" a="1"/>
  <c r="N101" i="1" s="1"/>
  <c r="O101" i="1"/>
  <c r="M102" i="1"/>
  <c r="N102" i="1" s="1" a="1"/>
  <c r="N102" i="1" s="1"/>
  <c r="O102" i="1"/>
  <c r="M103" i="1"/>
  <c r="N103" i="1" s="1" a="1"/>
  <c r="N103" i="1" s="1"/>
  <c r="O103" i="1"/>
  <c r="M104" i="1"/>
  <c r="N104" i="1" s="1" a="1"/>
  <c r="N104" i="1" s="1"/>
  <c r="O104" i="1"/>
  <c r="M105" i="1"/>
  <c r="N105" i="1" s="1" a="1"/>
  <c r="N105" i="1" s="1"/>
  <c r="O105" i="1"/>
  <c r="M106" i="1"/>
  <c r="N106" i="1" s="1" a="1"/>
  <c r="N106" i="1" s="1"/>
  <c r="O106" i="1"/>
  <c r="M107" i="1"/>
  <c r="N107" i="1" s="1" a="1"/>
  <c r="N107" i="1" s="1"/>
  <c r="O107" i="1"/>
  <c r="M108" i="1"/>
  <c r="N108" i="1" s="1" a="1"/>
  <c r="N108" i="1" s="1"/>
  <c r="O108" i="1"/>
  <c r="M109" i="1"/>
  <c r="N109" i="1" s="1" a="1"/>
  <c r="N109" i="1" s="1"/>
  <c r="O109" i="1"/>
  <c r="M110" i="1"/>
  <c r="N110" i="1" s="1" a="1"/>
  <c r="N110" i="1" s="1"/>
  <c r="O110" i="1"/>
  <c r="M111" i="1"/>
  <c r="N111" i="1" s="1" a="1"/>
  <c r="N111" i="1" s="1"/>
  <c r="O111" i="1"/>
  <c r="M112" i="1"/>
  <c r="N112" i="1" s="1" a="1"/>
  <c r="N112" i="1" s="1"/>
  <c r="O112" i="1"/>
  <c r="M113" i="1"/>
  <c r="N113" i="1" s="1" a="1"/>
  <c r="N113" i="1" s="1"/>
  <c r="O113" i="1"/>
  <c r="M114" i="1"/>
  <c r="N114" i="1" s="1" a="1"/>
  <c r="N114" i="1" s="1"/>
  <c r="O114" i="1"/>
  <c r="M115" i="1"/>
  <c r="N115" i="1" s="1" a="1"/>
  <c r="N115" i="1" s="1"/>
  <c r="O115" i="1"/>
  <c r="M116" i="1"/>
  <c r="N116" i="1" s="1" a="1"/>
  <c r="N116" i="1" s="1"/>
  <c r="O116" i="1"/>
  <c r="M117" i="1"/>
  <c r="N117" i="1" s="1" a="1"/>
  <c r="N117" i="1" s="1"/>
  <c r="O117" i="1"/>
  <c r="M118" i="1"/>
  <c r="N118" i="1" s="1" a="1"/>
  <c r="N118" i="1" s="1"/>
  <c r="O118" i="1"/>
  <c r="M119" i="1"/>
  <c r="N119" i="1" s="1" a="1"/>
  <c r="N119" i="1" s="1"/>
  <c r="O119" i="1"/>
  <c r="M120" i="1"/>
  <c r="N120" i="1" s="1" a="1"/>
  <c r="N120" i="1" s="1"/>
  <c r="O120" i="1"/>
  <c r="M121" i="1"/>
  <c r="N121" i="1" s="1" a="1"/>
  <c r="N121" i="1" s="1"/>
  <c r="O121" i="1"/>
  <c r="M122" i="1"/>
  <c r="N122" i="1" s="1" a="1"/>
  <c r="N122" i="1" s="1"/>
  <c r="O122" i="1"/>
  <c r="M123" i="1"/>
  <c r="N123" i="1" s="1" a="1"/>
  <c r="N123" i="1" s="1"/>
  <c r="O123" i="1"/>
  <c r="M124" i="1"/>
  <c r="N124" i="1" s="1" a="1"/>
  <c r="N124" i="1" s="1"/>
  <c r="O124" i="1"/>
  <c r="M125" i="1"/>
  <c r="N125" i="1" s="1" a="1"/>
  <c r="N125" i="1" s="1"/>
  <c r="O125" i="1"/>
  <c r="M126" i="1"/>
  <c r="N126" i="1" s="1" a="1"/>
  <c r="N126" i="1" s="1"/>
  <c r="O126" i="1"/>
  <c r="M127" i="1"/>
  <c r="N127" i="1" s="1" a="1"/>
  <c r="N127" i="1" s="1"/>
  <c r="O127" i="1"/>
  <c r="M128" i="1"/>
  <c r="N128" i="1" s="1" a="1"/>
  <c r="N128" i="1" s="1"/>
  <c r="O128" i="1"/>
  <c r="M129" i="1"/>
  <c r="N129" i="1" s="1" a="1"/>
  <c r="N129" i="1" s="1"/>
  <c r="O129" i="1"/>
  <c r="M130" i="1"/>
  <c r="N130" i="1" s="1" a="1"/>
  <c r="N130" i="1" s="1"/>
  <c r="O130" i="1"/>
  <c r="M131" i="1"/>
  <c r="N131" i="1" s="1" a="1"/>
  <c r="N131" i="1" s="1"/>
  <c r="O131" i="1"/>
  <c r="M132" i="1"/>
  <c r="N132" i="1" s="1" a="1"/>
  <c r="N132" i="1" s="1"/>
  <c r="O132" i="1"/>
  <c r="M133" i="1"/>
  <c r="N133" i="1" s="1" a="1"/>
  <c r="N133" i="1" s="1"/>
  <c r="O133" i="1"/>
  <c r="M134" i="1"/>
  <c r="N134" i="1" s="1" a="1"/>
  <c r="N134" i="1" s="1"/>
  <c r="O134" i="1"/>
  <c r="M135" i="1"/>
  <c r="N135" i="1" s="1" a="1"/>
  <c r="N135" i="1" s="1"/>
  <c r="O135" i="1"/>
  <c r="M136" i="1"/>
  <c r="N136" i="1" s="1" a="1"/>
  <c r="N136" i="1" s="1"/>
  <c r="O136" i="1"/>
  <c r="M137" i="1"/>
  <c r="N137" i="1" s="1" a="1"/>
  <c r="N137" i="1" s="1"/>
  <c r="O137" i="1"/>
  <c r="M138" i="1"/>
  <c r="N138" i="1" s="1" a="1"/>
  <c r="N138" i="1" s="1"/>
  <c r="O138" i="1"/>
  <c r="M139" i="1"/>
  <c r="N139" i="1" s="1" a="1"/>
  <c r="N139" i="1" s="1"/>
  <c r="O139" i="1"/>
  <c r="M140" i="1"/>
  <c r="N140" i="1" s="1" a="1"/>
  <c r="N140" i="1" s="1"/>
  <c r="O140" i="1"/>
  <c r="M141" i="1"/>
  <c r="N141" i="1" s="1" a="1"/>
  <c r="N141" i="1" s="1"/>
  <c r="O141" i="1"/>
  <c r="M142" i="1"/>
  <c r="N142" i="1" s="1" a="1"/>
  <c r="N142" i="1" s="1"/>
  <c r="O142" i="1"/>
  <c r="M143" i="1"/>
  <c r="N143" i="1" s="1" a="1"/>
  <c r="N143" i="1" s="1"/>
  <c r="O143" i="1"/>
  <c r="M144" i="1"/>
  <c r="N144" i="1" s="1" a="1"/>
  <c r="N144" i="1" s="1"/>
  <c r="O144" i="1"/>
  <c r="M145" i="1"/>
  <c r="N145" i="1" s="1" a="1"/>
  <c r="N145" i="1" s="1"/>
  <c r="O145" i="1"/>
  <c r="M146" i="1"/>
  <c r="N146" i="1" s="1" a="1"/>
  <c r="N146" i="1" s="1"/>
  <c r="O146" i="1"/>
  <c r="M147" i="1"/>
  <c r="N147" i="1" s="1" a="1"/>
  <c r="N147" i="1" s="1"/>
  <c r="O147" i="1"/>
  <c r="M148" i="1"/>
  <c r="N148" i="1" s="1" a="1"/>
  <c r="N148" i="1" s="1"/>
  <c r="O148" i="1"/>
  <c r="M149" i="1"/>
  <c r="N149" i="1" s="1" a="1"/>
  <c r="N149" i="1" s="1"/>
  <c r="O149" i="1"/>
  <c r="M150" i="1"/>
  <c r="N150" i="1" s="1" a="1"/>
  <c r="N150" i="1" s="1"/>
  <c r="O150" i="1"/>
  <c r="M151" i="1"/>
  <c r="N151" i="1" s="1" a="1"/>
  <c r="N151" i="1" s="1"/>
  <c r="O151" i="1"/>
  <c r="M152" i="1"/>
  <c r="N152" i="1" s="1" a="1"/>
  <c r="N152" i="1" s="1"/>
  <c r="O152" i="1"/>
  <c r="M153" i="1"/>
  <c r="N153" i="1" s="1" a="1"/>
  <c r="N153" i="1" s="1"/>
  <c r="O153" i="1"/>
  <c r="M154" i="1"/>
  <c r="N154" i="1" s="1" a="1"/>
  <c r="N154" i="1" s="1"/>
  <c r="O154" i="1"/>
  <c r="M155" i="1"/>
  <c r="N155" i="1" s="1" a="1"/>
  <c r="N155" i="1" s="1"/>
  <c r="O155" i="1"/>
  <c r="M156" i="1"/>
  <c r="N156" i="1" s="1" a="1"/>
  <c r="N156" i="1" s="1"/>
  <c r="O156" i="1"/>
  <c r="M157" i="1"/>
  <c r="N157" i="1" s="1" a="1"/>
  <c r="N157" i="1" s="1"/>
  <c r="O157" i="1"/>
  <c r="M158" i="1"/>
  <c r="N158" i="1" s="1" a="1"/>
  <c r="N158" i="1" s="1"/>
  <c r="O158" i="1"/>
  <c r="M159" i="1"/>
  <c r="N159" i="1" s="1" a="1"/>
  <c r="N159" i="1" s="1"/>
  <c r="O159" i="1"/>
  <c r="M160" i="1"/>
  <c r="N160" i="1" s="1" a="1"/>
  <c r="N160" i="1" s="1"/>
  <c r="O160" i="1"/>
  <c r="M161" i="1"/>
  <c r="N161" i="1" s="1" a="1"/>
  <c r="N161" i="1" s="1"/>
  <c r="O161" i="1"/>
  <c r="M162" i="1"/>
  <c r="N162" i="1" s="1" a="1"/>
  <c r="N162" i="1" s="1"/>
  <c r="O162" i="1"/>
  <c r="M163" i="1"/>
  <c r="N163" i="1" s="1" a="1"/>
  <c r="N163" i="1" s="1"/>
  <c r="O163" i="1"/>
  <c r="M164" i="1"/>
  <c r="N164" i="1" s="1" a="1"/>
  <c r="N164" i="1" s="1"/>
  <c r="O164" i="1"/>
  <c r="M165" i="1"/>
  <c r="N165" i="1" s="1" a="1"/>
  <c r="N165" i="1" s="1"/>
  <c r="O165" i="1"/>
  <c r="M166" i="1"/>
  <c r="N166" i="1" s="1" a="1"/>
  <c r="N166" i="1" s="1"/>
  <c r="O166" i="1"/>
  <c r="M167" i="1"/>
  <c r="N167" i="1" s="1" a="1"/>
  <c r="N167" i="1" s="1"/>
  <c r="O167" i="1"/>
  <c r="M168" i="1"/>
  <c r="N168" i="1" s="1" a="1"/>
  <c r="N168" i="1" s="1"/>
  <c r="O168" i="1"/>
  <c r="M169" i="1"/>
  <c r="N169" i="1" s="1" a="1"/>
  <c r="N169" i="1" s="1"/>
  <c r="O169" i="1"/>
  <c r="M170" i="1"/>
  <c r="N170" i="1" s="1" a="1"/>
  <c r="N170" i="1" s="1"/>
  <c r="O170" i="1"/>
  <c r="M171" i="1"/>
  <c r="N171" i="1" s="1" a="1"/>
  <c r="N171" i="1" s="1"/>
  <c r="O171" i="1"/>
  <c r="M172" i="1"/>
  <c r="N172" i="1" s="1" a="1"/>
  <c r="N172" i="1" s="1"/>
  <c r="O172" i="1"/>
  <c r="M173" i="1"/>
  <c r="N173" i="1" s="1" a="1"/>
  <c r="N173" i="1" s="1"/>
  <c r="O173" i="1"/>
  <c r="M174" i="1"/>
  <c r="N174" i="1" s="1" a="1"/>
  <c r="N174" i="1" s="1"/>
  <c r="O174" i="1"/>
  <c r="M175" i="1"/>
  <c r="N175" i="1" s="1" a="1"/>
  <c r="N175" i="1" s="1"/>
  <c r="O175" i="1"/>
  <c r="M176" i="1"/>
  <c r="N176" i="1" s="1" a="1"/>
  <c r="N176" i="1" s="1"/>
  <c r="O176" i="1"/>
  <c r="M177" i="1"/>
  <c r="N177" i="1" s="1" a="1"/>
  <c r="N177" i="1" s="1"/>
  <c r="O177" i="1"/>
  <c r="M178" i="1"/>
  <c r="N178" i="1" s="1" a="1"/>
  <c r="N178" i="1" s="1"/>
  <c r="O178" i="1"/>
  <c r="M179" i="1"/>
  <c r="N179" i="1" s="1" a="1"/>
  <c r="N179" i="1" s="1"/>
  <c r="O179" i="1"/>
  <c r="M180" i="1"/>
  <c r="N180" i="1" s="1" a="1"/>
  <c r="N180" i="1" s="1"/>
  <c r="O180" i="1"/>
  <c r="M181" i="1"/>
  <c r="N181" i="1" s="1" a="1"/>
  <c r="N181" i="1" s="1"/>
  <c r="O181" i="1"/>
  <c r="M182" i="1"/>
  <c r="N182" i="1" s="1" a="1"/>
  <c r="N182" i="1" s="1"/>
  <c r="O182" i="1"/>
  <c r="M183" i="1"/>
  <c r="N183" i="1" s="1" a="1"/>
  <c r="N183" i="1" s="1"/>
  <c r="O183" i="1"/>
  <c r="M184" i="1"/>
  <c r="N184" i="1" s="1" a="1"/>
  <c r="N184" i="1" s="1"/>
  <c r="O184" i="1"/>
  <c r="M185" i="1"/>
  <c r="N185" i="1" s="1" a="1"/>
  <c r="N185" i="1" s="1"/>
  <c r="O185" i="1"/>
  <c r="M186" i="1"/>
  <c r="N186" i="1" s="1" a="1"/>
  <c r="N186" i="1" s="1"/>
  <c r="O186" i="1"/>
  <c r="M187" i="1"/>
  <c r="N187" i="1" s="1" a="1"/>
  <c r="N187" i="1" s="1"/>
  <c r="O187" i="1"/>
  <c r="M188" i="1"/>
  <c r="N188" i="1" s="1" a="1"/>
  <c r="N188" i="1" s="1"/>
  <c r="O188" i="1"/>
  <c r="M189" i="1"/>
  <c r="N189" i="1" s="1" a="1"/>
  <c r="N189" i="1" s="1"/>
  <c r="O189" i="1"/>
  <c r="M190" i="1"/>
  <c r="N190" i="1" s="1" a="1"/>
  <c r="N190" i="1" s="1"/>
  <c r="O190" i="1"/>
  <c r="M191" i="1"/>
  <c r="N191" i="1" s="1" a="1"/>
  <c r="N191" i="1" s="1"/>
  <c r="O191" i="1"/>
  <c r="M192" i="1"/>
  <c r="N192" i="1" s="1" a="1"/>
  <c r="N192" i="1" s="1"/>
  <c r="O192" i="1"/>
  <c r="M193" i="1"/>
  <c r="N193" i="1" s="1" a="1"/>
  <c r="N193" i="1" s="1"/>
  <c r="O193" i="1"/>
  <c r="M194" i="1"/>
  <c r="N194" i="1" s="1" a="1"/>
  <c r="N194" i="1" s="1"/>
  <c r="O194" i="1"/>
  <c r="M195" i="1"/>
  <c r="N195" i="1" s="1" a="1"/>
  <c r="N195" i="1" s="1"/>
  <c r="O195" i="1"/>
  <c r="M196" i="1"/>
  <c r="N196" i="1" s="1" a="1"/>
  <c r="N196" i="1" s="1"/>
  <c r="O196" i="1"/>
  <c r="M197" i="1"/>
  <c r="N197" i="1" s="1" a="1"/>
  <c r="N197" i="1" s="1"/>
  <c r="O197" i="1"/>
  <c r="M198" i="1"/>
  <c r="N198" i="1" s="1" a="1"/>
  <c r="N198" i="1" s="1"/>
  <c r="O198" i="1"/>
  <c r="M199" i="1"/>
  <c r="N199" i="1" s="1" a="1"/>
  <c r="N199" i="1" s="1"/>
  <c r="O199" i="1"/>
  <c r="M200" i="1"/>
  <c r="N200" i="1" s="1" a="1"/>
  <c r="N200" i="1" s="1"/>
  <c r="O200" i="1"/>
  <c r="M201" i="1"/>
  <c r="N201" i="1" s="1" a="1"/>
  <c r="N201" i="1" s="1"/>
  <c r="O201" i="1"/>
  <c r="M202" i="1"/>
  <c r="N202" i="1" s="1" a="1"/>
  <c r="N202" i="1" s="1"/>
  <c r="O202" i="1"/>
  <c r="M203" i="1"/>
  <c r="N203" i="1" s="1" a="1"/>
  <c r="N203" i="1" s="1"/>
  <c r="O203" i="1"/>
  <c r="M204" i="1"/>
  <c r="N204" i="1" s="1" a="1"/>
  <c r="N204" i="1" s="1"/>
  <c r="O204" i="1"/>
  <c r="M205" i="1"/>
  <c r="N205" i="1" s="1" a="1"/>
  <c r="N205" i="1" s="1"/>
  <c r="O205" i="1"/>
  <c r="M206" i="1"/>
  <c r="N206" i="1" s="1" a="1"/>
  <c r="N206" i="1" s="1"/>
  <c r="O206" i="1"/>
  <c r="M207" i="1"/>
  <c r="N207" i="1" s="1" a="1"/>
  <c r="N207" i="1" s="1"/>
  <c r="O207" i="1"/>
  <c r="M208" i="1"/>
  <c r="N208" i="1" s="1" a="1"/>
  <c r="N208" i="1" s="1"/>
  <c r="O208" i="1"/>
  <c r="M209" i="1"/>
  <c r="N209" i="1" s="1" a="1"/>
  <c r="N209" i="1" s="1"/>
  <c r="O209" i="1"/>
  <c r="M210" i="1"/>
  <c r="N210" i="1" s="1" a="1"/>
  <c r="N210" i="1" s="1"/>
  <c r="O210" i="1"/>
  <c r="M211" i="1"/>
  <c r="N211" i="1" s="1" a="1"/>
  <c r="N211" i="1" s="1"/>
  <c r="O211" i="1"/>
  <c r="M212" i="1"/>
  <c r="N212" i="1" s="1" a="1"/>
  <c r="N212" i="1" s="1"/>
  <c r="O212" i="1"/>
  <c r="M213" i="1"/>
  <c r="N213" i="1" s="1" a="1"/>
  <c r="N213" i="1" s="1"/>
  <c r="O213" i="1"/>
  <c r="M214" i="1"/>
  <c r="N214" i="1" s="1" a="1"/>
  <c r="N214" i="1" s="1"/>
  <c r="O214" i="1"/>
  <c r="M215" i="1"/>
  <c r="N215" i="1" s="1" a="1"/>
  <c r="N215" i="1" s="1"/>
  <c r="O215" i="1"/>
  <c r="M216" i="1"/>
  <c r="N216" i="1" s="1" a="1"/>
  <c r="N216" i="1" s="1"/>
  <c r="O216" i="1"/>
  <c r="M217" i="1"/>
  <c r="N217" i="1" s="1" a="1"/>
  <c r="N217" i="1" s="1"/>
  <c r="O217" i="1"/>
  <c r="M218" i="1"/>
  <c r="N218" i="1" s="1" a="1"/>
  <c r="N218" i="1" s="1"/>
  <c r="O218" i="1"/>
  <c r="M219" i="1"/>
  <c r="N219" i="1" s="1" a="1"/>
  <c r="N219" i="1" s="1"/>
  <c r="O219" i="1"/>
  <c r="M220" i="1"/>
  <c r="N220" i="1" s="1" a="1"/>
  <c r="N220" i="1" s="1"/>
  <c r="O220" i="1"/>
  <c r="M221" i="1"/>
  <c r="N221" i="1" s="1" a="1"/>
  <c r="N221" i="1" s="1"/>
  <c r="O221" i="1"/>
  <c r="M222" i="1"/>
  <c r="N222" i="1" s="1" a="1"/>
  <c r="N222" i="1" s="1"/>
  <c r="O222" i="1"/>
  <c r="M223" i="1"/>
  <c r="N223" i="1" s="1" a="1"/>
  <c r="N223" i="1" s="1"/>
  <c r="O223" i="1"/>
  <c r="M224" i="1"/>
  <c r="N224" i="1" s="1" a="1"/>
  <c r="N224" i="1" s="1"/>
  <c r="O224" i="1"/>
  <c r="M225" i="1"/>
  <c r="N225" i="1" s="1" a="1"/>
  <c r="N225" i="1" s="1"/>
  <c r="O225" i="1"/>
  <c r="M226" i="1"/>
  <c r="N226" i="1" s="1" a="1"/>
  <c r="N226" i="1" s="1"/>
  <c r="O226" i="1"/>
  <c r="M227" i="1"/>
  <c r="N227" i="1" s="1" a="1"/>
  <c r="N227" i="1" s="1"/>
  <c r="O227" i="1"/>
  <c r="M228" i="1"/>
  <c r="N228" i="1" s="1" a="1"/>
  <c r="N228" i="1" s="1"/>
  <c r="O228" i="1"/>
  <c r="M229" i="1"/>
  <c r="N229" i="1" s="1" a="1"/>
  <c r="N229" i="1" s="1"/>
  <c r="O229" i="1"/>
  <c r="M230" i="1"/>
  <c r="N230" i="1" s="1" a="1"/>
  <c r="N230" i="1" s="1"/>
  <c r="O230" i="1"/>
  <c r="M231" i="1"/>
  <c r="N231" i="1" s="1" a="1"/>
  <c r="N231" i="1" s="1"/>
  <c r="O231" i="1"/>
  <c r="M232" i="1"/>
  <c r="N232" i="1" s="1" a="1"/>
  <c r="N232" i="1" s="1"/>
  <c r="O232" i="1"/>
  <c r="M233" i="1"/>
  <c r="N233" i="1" s="1" a="1"/>
  <c r="N233" i="1" s="1"/>
  <c r="O233" i="1"/>
  <c r="M234" i="1"/>
  <c r="N234" i="1" s="1" a="1"/>
  <c r="N234" i="1" s="1"/>
  <c r="O234" i="1"/>
  <c r="M235" i="1"/>
  <c r="N235" i="1" s="1" a="1"/>
  <c r="N235" i="1" s="1"/>
  <c r="O235" i="1"/>
  <c r="M236" i="1"/>
  <c r="N236" i="1" s="1" a="1"/>
  <c r="N236" i="1" s="1"/>
  <c r="O236" i="1"/>
  <c r="M237" i="1"/>
  <c r="N237" i="1" s="1" a="1"/>
  <c r="N237" i="1" s="1"/>
  <c r="O237" i="1"/>
  <c r="M238" i="1"/>
  <c r="N238" i="1" s="1" a="1"/>
  <c r="N238" i="1" s="1"/>
  <c r="O238" i="1"/>
  <c r="M239" i="1"/>
  <c r="N239" i="1" s="1" a="1"/>
  <c r="N239" i="1" s="1"/>
  <c r="O239" i="1"/>
  <c r="M240" i="1"/>
  <c r="N240" i="1" s="1" a="1"/>
  <c r="N240" i="1" s="1"/>
  <c r="O240" i="1"/>
  <c r="M241" i="1"/>
  <c r="N241" i="1" s="1" a="1"/>
  <c r="N241" i="1" s="1"/>
  <c r="O241" i="1"/>
  <c r="M242" i="1"/>
  <c r="N242" i="1" s="1" a="1"/>
  <c r="N242" i="1" s="1"/>
  <c r="O242" i="1"/>
  <c r="M243" i="1"/>
  <c r="N243" i="1" s="1" a="1"/>
  <c r="N243" i="1" s="1"/>
  <c r="O243" i="1"/>
  <c r="M244" i="1"/>
  <c r="N244" i="1" s="1" a="1"/>
  <c r="N244" i="1" s="1"/>
  <c r="O244" i="1"/>
  <c r="M245" i="1"/>
  <c r="N245" i="1" s="1" a="1"/>
  <c r="N245" i="1" s="1"/>
  <c r="O245" i="1"/>
  <c r="M246" i="1"/>
  <c r="N246" i="1" s="1" a="1"/>
  <c r="N246" i="1" s="1"/>
  <c r="O246" i="1"/>
  <c r="M247" i="1"/>
  <c r="N247" i="1" s="1" a="1"/>
  <c r="N247" i="1" s="1"/>
  <c r="O247" i="1"/>
  <c r="M248" i="1"/>
  <c r="N248" i="1" s="1" a="1"/>
  <c r="N248" i="1" s="1"/>
  <c r="O248" i="1"/>
  <c r="M249" i="1"/>
  <c r="N249" i="1" s="1" a="1"/>
  <c r="N249" i="1" s="1"/>
  <c r="O249" i="1"/>
  <c r="M250" i="1"/>
  <c r="N250" i="1" s="1" a="1"/>
  <c r="N250" i="1" s="1"/>
  <c r="O250" i="1"/>
  <c r="M251" i="1"/>
  <c r="N251" i="1" s="1" a="1"/>
  <c r="N251" i="1" s="1"/>
  <c r="O251" i="1"/>
  <c r="M252" i="1"/>
  <c r="N252" i="1" s="1" a="1"/>
  <c r="N252" i="1" s="1"/>
  <c r="O252" i="1"/>
  <c r="M253" i="1"/>
  <c r="N253" i="1" s="1" a="1"/>
  <c r="N253" i="1" s="1"/>
  <c r="O253" i="1"/>
  <c r="M254" i="1"/>
  <c r="N254" i="1" s="1" a="1"/>
  <c r="N254" i="1" s="1"/>
  <c r="O254" i="1"/>
  <c r="M255" i="1"/>
  <c r="N255" i="1" s="1" a="1"/>
  <c r="N255" i="1" s="1"/>
  <c r="O255" i="1"/>
  <c r="M256" i="1"/>
  <c r="N256" i="1" s="1" a="1"/>
  <c r="N256" i="1" s="1"/>
  <c r="O256" i="1"/>
  <c r="M257" i="1"/>
  <c r="N257" i="1" s="1" a="1"/>
  <c r="N257" i="1" s="1"/>
  <c r="O257" i="1"/>
  <c r="M258" i="1"/>
  <c r="N258" i="1" s="1" a="1"/>
  <c r="N258" i="1" s="1"/>
  <c r="O258" i="1"/>
  <c r="M259" i="1"/>
  <c r="N259" i="1" s="1" a="1"/>
  <c r="N259" i="1" s="1"/>
  <c r="O259" i="1"/>
  <c r="M260" i="1"/>
  <c r="N260" i="1" s="1" a="1"/>
  <c r="N260" i="1" s="1"/>
  <c r="O260" i="1"/>
  <c r="M261" i="1"/>
  <c r="N261" i="1" s="1" a="1"/>
  <c r="N261" i="1" s="1"/>
  <c r="O261" i="1"/>
  <c r="M262" i="1"/>
  <c r="N262" i="1" s="1" a="1"/>
  <c r="N262" i="1" s="1"/>
  <c r="O262" i="1"/>
  <c r="M263" i="1"/>
  <c r="N263" i="1" s="1" a="1"/>
  <c r="N263" i="1" s="1"/>
  <c r="O263" i="1"/>
  <c r="M264" i="1"/>
  <c r="N264" i="1" s="1" a="1"/>
  <c r="N264" i="1" s="1"/>
  <c r="O264" i="1"/>
  <c r="M265" i="1"/>
  <c r="N265" i="1" s="1" a="1"/>
  <c r="N265" i="1" s="1"/>
  <c r="O265" i="1"/>
  <c r="M266" i="1"/>
  <c r="N266" i="1" s="1" a="1"/>
  <c r="N266" i="1" s="1"/>
  <c r="O266" i="1"/>
  <c r="M267" i="1"/>
  <c r="N267" i="1" s="1" a="1"/>
  <c r="N267" i="1" s="1"/>
  <c r="O267" i="1"/>
  <c r="M268" i="1"/>
  <c r="N268" i="1" s="1" a="1"/>
  <c r="N268" i="1" s="1"/>
  <c r="O268" i="1"/>
  <c r="M269" i="1"/>
  <c r="N269" i="1" s="1" a="1"/>
  <c r="N269" i="1" s="1"/>
  <c r="O269" i="1"/>
  <c r="M270" i="1"/>
  <c r="N270" i="1" s="1" a="1"/>
  <c r="N270" i="1" s="1"/>
  <c r="O270" i="1"/>
  <c r="M271" i="1"/>
  <c r="N271" i="1" s="1" a="1"/>
  <c r="N271" i="1" s="1"/>
  <c r="O271" i="1"/>
  <c r="M272" i="1"/>
  <c r="N272" i="1" s="1" a="1"/>
  <c r="N272" i="1" s="1"/>
  <c r="O272" i="1"/>
  <c r="M273" i="1"/>
  <c r="N273" i="1" s="1" a="1"/>
  <c r="N273" i="1" s="1"/>
  <c r="O273" i="1"/>
  <c r="M274" i="1"/>
  <c r="N274" i="1" s="1" a="1"/>
  <c r="N274" i="1" s="1"/>
  <c r="O274" i="1"/>
  <c r="M275" i="1"/>
  <c r="N275" i="1" s="1" a="1"/>
  <c r="N275" i="1" s="1"/>
  <c r="O275" i="1"/>
  <c r="M276" i="1"/>
  <c r="N276" i="1" s="1" a="1"/>
  <c r="N276" i="1" s="1"/>
  <c r="O276" i="1"/>
  <c r="M277" i="1"/>
  <c r="N277" i="1" s="1" a="1"/>
  <c r="N277" i="1" s="1"/>
  <c r="O277" i="1"/>
  <c r="M278" i="1"/>
  <c r="N278" i="1" s="1" a="1"/>
  <c r="N278" i="1" s="1"/>
  <c r="O278" i="1"/>
  <c r="M279" i="1"/>
  <c r="N279" i="1" s="1" a="1"/>
  <c r="N279" i="1" s="1"/>
  <c r="O279" i="1"/>
  <c r="M280" i="1"/>
  <c r="N280" i="1" s="1" a="1"/>
  <c r="N280" i="1" s="1"/>
  <c r="O280" i="1"/>
  <c r="M281" i="1"/>
  <c r="N281" i="1" s="1" a="1"/>
  <c r="N281" i="1" s="1"/>
  <c r="O281" i="1"/>
  <c r="M282" i="1"/>
  <c r="N282" i="1" s="1" a="1"/>
  <c r="N282" i="1" s="1"/>
  <c r="O282" i="1"/>
  <c r="M283" i="1"/>
  <c r="N283" i="1" s="1" a="1"/>
  <c r="N283" i="1" s="1"/>
  <c r="O283" i="1"/>
  <c r="M284" i="1"/>
  <c r="N284" i="1" s="1" a="1"/>
  <c r="N284" i="1" s="1"/>
  <c r="O284" i="1"/>
  <c r="M285" i="1"/>
  <c r="N285" i="1" s="1" a="1"/>
  <c r="N285" i="1" s="1"/>
  <c r="O285" i="1"/>
  <c r="M286" i="1"/>
  <c r="N286" i="1" s="1" a="1"/>
  <c r="N286" i="1" s="1"/>
  <c r="O286" i="1"/>
  <c r="M287" i="1"/>
  <c r="N287" i="1" s="1" a="1"/>
  <c r="N287" i="1" s="1"/>
  <c r="O287" i="1"/>
  <c r="M288" i="1"/>
  <c r="N288" i="1" s="1" a="1"/>
  <c r="N288" i="1" s="1"/>
  <c r="O288" i="1"/>
  <c r="M289" i="1"/>
  <c r="N289" i="1" s="1" a="1"/>
  <c r="N289" i="1" s="1"/>
  <c r="O289" i="1"/>
  <c r="M290" i="1"/>
  <c r="N290" i="1" s="1" a="1"/>
  <c r="N290" i="1" s="1"/>
  <c r="O290" i="1"/>
  <c r="M291" i="1"/>
  <c r="N291" i="1" s="1" a="1"/>
  <c r="N291" i="1" s="1"/>
  <c r="O291" i="1"/>
  <c r="M292" i="1"/>
  <c r="N292" i="1" s="1" a="1"/>
  <c r="N292" i="1" s="1"/>
  <c r="O292" i="1"/>
  <c r="M293" i="1"/>
  <c r="N293" i="1" s="1" a="1"/>
  <c r="N293" i="1" s="1"/>
  <c r="O293" i="1"/>
  <c r="M294" i="1"/>
  <c r="N294" i="1" s="1" a="1"/>
  <c r="N294" i="1" s="1"/>
  <c r="O294" i="1"/>
  <c r="M295" i="1"/>
  <c r="N295" i="1" s="1" a="1"/>
  <c r="N295" i="1" s="1"/>
  <c r="O295" i="1"/>
  <c r="M296" i="1"/>
  <c r="N296" i="1" s="1" a="1"/>
  <c r="N296" i="1" s="1"/>
  <c r="O296" i="1"/>
  <c r="M297" i="1"/>
  <c r="N297" i="1" s="1" a="1"/>
  <c r="N297" i="1" s="1"/>
  <c r="O297" i="1"/>
  <c r="M298" i="1"/>
  <c r="N298" i="1" s="1" a="1"/>
  <c r="N298" i="1" s="1"/>
  <c r="O298" i="1"/>
  <c r="M299" i="1"/>
  <c r="N299" i="1" s="1" a="1"/>
  <c r="N299" i="1" s="1"/>
  <c r="O299" i="1"/>
  <c r="M300" i="1"/>
  <c r="N300" i="1" s="1" a="1"/>
  <c r="N300" i="1" s="1"/>
  <c r="O300" i="1"/>
  <c r="M301" i="1"/>
  <c r="N301" i="1" s="1" a="1"/>
  <c r="N301" i="1" s="1"/>
  <c r="O301" i="1"/>
  <c r="M302" i="1"/>
  <c r="N302" i="1" s="1" a="1"/>
  <c r="N302" i="1" s="1"/>
  <c r="O302" i="1"/>
  <c r="M303" i="1"/>
  <c r="N303" i="1" s="1" a="1"/>
  <c r="N303" i="1" s="1"/>
  <c r="O303" i="1"/>
  <c r="M304" i="1"/>
  <c r="N304" i="1" s="1" a="1"/>
  <c r="N304" i="1" s="1"/>
  <c r="O304" i="1"/>
  <c r="M305" i="1"/>
  <c r="N305" i="1" s="1" a="1"/>
  <c r="N305" i="1" s="1"/>
  <c r="O305" i="1"/>
  <c r="M306" i="1"/>
  <c r="N306" i="1" s="1" a="1"/>
  <c r="N306" i="1" s="1"/>
  <c r="O306" i="1"/>
  <c r="M307" i="1"/>
  <c r="N307" i="1" s="1" a="1"/>
  <c r="N307" i="1" s="1"/>
  <c r="O307" i="1"/>
  <c r="M308" i="1"/>
  <c r="N308" i="1" s="1" a="1"/>
  <c r="N308" i="1" s="1"/>
  <c r="O308" i="1"/>
  <c r="M309" i="1"/>
  <c r="N309" i="1" s="1" a="1"/>
  <c r="N309" i="1" s="1"/>
  <c r="O309" i="1"/>
  <c r="M310" i="1"/>
  <c r="N310" i="1" s="1" a="1"/>
  <c r="N310" i="1" s="1"/>
  <c r="O310" i="1"/>
  <c r="M311" i="1"/>
  <c r="N311" i="1" s="1" a="1"/>
  <c r="N311" i="1" s="1"/>
  <c r="O311" i="1"/>
  <c r="M312" i="1"/>
  <c r="N312" i="1" s="1" a="1"/>
  <c r="N312" i="1" s="1"/>
  <c r="O312" i="1"/>
  <c r="M313" i="1"/>
  <c r="N313" i="1" s="1" a="1"/>
  <c r="N313" i="1" s="1"/>
  <c r="O313" i="1"/>
  <c r="M314" i="1"/>
  <c r="N314" i="1" s="1" a="1"/>
  <c r="N314" i="1" s="1"/>
  <c r="O314" i="1"/>
  <c r="M315" i="1"/>
  <c r="N315" i="1" s="1" a="1"/>
  <c r="N315" i="1" s="1"/>
  <c r="O315" i="1"/>
  <c r="M316" i="1"/>
  <c r="N316" i="1" s="1" a="1"/>
  <c r="N316" i="1" s="1"/>
  <c r="O316" i="1"/>
  <c r="M317" i="1"/>
  <c r="N317" i="1" s="1" a="1"/>
  <c r="N317" i="1" s="1"/>
  <c r="O317" i="1"/>
  <c r="M318" i="1"/>
  <c r="N318" i="1" s="1" a="1"/>
  <c r="N318" i="1" s="1"/>
  <c r="O318" i="1"/>
  <c r="M319" i="1"/>
  <c r="N319" i="1" s="1" a="1"/>
  <c r="N319" i="1" s="1"/>
  <c r="O319" i="1"/>
  <c r="M320" i="1"/>
  <c r="N320" i="1" s="1" a="1"/>
  <c r="N320" i="1" s="1"/>
  <c r="O320" i="1"/>
  <c r="M321" i="1"/>
  <c r="N321" i="1" s="1" a="1"/>
  <c r="N321" i="1" s="1"/>
  <c r="O321" i="1"/>
  <c r="M322" i="1"/>
  <c r="N322" i="1" s="1" a="1"/>
  <c r="N322" i="1" s="1"/>
  <c r="O322" i="1"/>
  <c r="M323" i="1"/>
  <c r="N323" i="1" s="1" a="1"/>
  <c r="N323" i="1" s="1"/>
  <c r="O323" i="1"/>
  <c r="M324" i="1"/>
  <c r="N324" i="1" s="1" a="1"/>
  <c r="N324" i="1" s="1"/>
  <c r="O324" i="1"/>
  <c r="M325" i="1"/>
  <c r="N325" i="1" s="1" a="1"/>
  <c r="N325" i="1" s="1"/>
  <c r="O325" i="1"/>
  <c r="M326" i="1"/>
  <c r="N326" i="1" s="1" a="1"/>
  <c r="N326" i="1" s="1"/>
  <c r="O326" i="1"/>
  <c r="M327" i="1"/>
  <c r="N327" i="1" s="1" a="1"/>
  <c r="N327" i="1" s="1"/>
  <c r="O327" i="1"/>
  <c r="M328" i="1"/>
  <c r="N328" i="1" s="1" a="1"/>
  <c r="N328" i="1" s="1"/>
  <c r="O328" i="1"/>
  <c r="M329" i="1"/>
  <c r="N329" i="1" s="1" a="1"/>
  <c r="N329" i="1" s="1"/>
  <c r="O329" i="1"/>
  <c r="M330" i="1"/>
  <c r="N330" i="1" s="1" a="1"/>
  <c r="N330" i="1" s="1"/>
  <c r="O330" i="1"/>
  <c r="M331" i="1"/>
  <c r="N331" i="1" s="1" a="1"/>
  <c r="N331" i="1" s="1"/>
  <c r="O331" i="1"/>
  <c r="M332" i="1"/>
  <c r="N332" i="1" s="1" a="1"/>
  <c r="N332" i="1" s="1"/>
  <c r="O332" i="1"/>
  <c r="M333" i="1"/>
  <c r="N333" i="1" s="1" a="1"/>
  <c r="N333" i="1" s="1"/>
  <c r="O333" i="1"/>
  <c r="M334" i="1"/>
  <c r="N334" i="1" s="1" a="1"/>
  <c r="N334" i="1" s="1"/>
  <c r="O334" i="1"/>
  <c r="M335" i="1"/>
  <c r="N335" i="1" s="1" a="1"/>
  <c r="N335" i="1" s="1"/>
  <c r="O335" i="1"/>
  <c r="M336" i="1"/>
  <c r="N336" i="1" s="1" a="1"/>
  <c r="N336" i="1" s="1"/>
  <c r="O336" i="1"/>
  <c r="M337" i="1"/>
  <c r="N337" i="1" s="1" a="1"/>
  <c r="N337" i="1" s="1"/>
  <c r="O337" i="1"/>
  <c r="M338" i="1"/>
  <c r="N338" i="1" s="1" a="1"/>
  <c r="N338" i="1" s="1"/>
  <c r="O338" i="1"/>
  <c r="M339" i="1"/>
  <c r="N339" i="1" s="1" a="1"/>
  <c r="N339" i="1" s="1"/>
  <c r="O339" i="1"/>
  <c r="M340" i="1"/>
  <c r="N340" i="1" s="1" a="1"/>
  <c r="N340" i="1" s="1"/>
  <c r="O340" i="1"/>
  <c r="M341" i="1"/>
  <c r="N341" i="1" s="1" a="1"/>
  <c r="N341" i="1" s="1"/>
  <c r="O341" i="1"/>
  <c r="M342" i="1"/>
  <c r="N342" i="1" s="1" a="1"/>
  <c r="N342" i="1" s="1"/>
  <c r="O342" i="1"/>
  <c r="M343" i="1"/>
  <c r="N343" i="1" s="1" a="1"/>
  <c r="N343" i="1" s="1"/>
  <c r="O343" i="1"/>
  <c r="M344" i="1"/>
  <c r="N344" i="1" s="1" a="1"/>
  <c r="N344" i="1" s="1"/>
  <c r="O344" i="1"/>
  <c r="M345" i="1"/>
  <c r="N345" i="1" s="1" a="1"/>
  <c r="N345" i="1" s="1"/>
  <c r="O345" i="1"/>
  <c r="M346" i="1"/>
  <c r="N346" i="1" s="1" a="1"/>
  <c r="N346" i="1" s="1"/>
  <c r="O346" i="1"/>
  <c r="M347" i="1"/>
  <c r="N347" i="1" s="1" a="1"/>
  <c r="N347" i="1" s="1"/>
  <c r="O347" i="1"/>
  <c r="M348" i="1"/>
  <c r="N348" i="1" s="1" a="1"/>
  <c r="N348" i="1" s="1"/>
  <c r="O348" i="1"/>
  <c r="M349" i="1"/>
  <c r="N349" i="1" s="1" a="1"/>
  <c r="N349" i="1" s="1"/>
  <c r="O349" i="1"/>
  <c r="M350" i="1"/>
  <c r="N350" i="1" s="1" a="1"/>
  <c r="N350" i="1" s="1"/>
  <c r="O350" i="1"/>
  <c r="M351" i="1"/>
  <c r="N351" i="1" s="1" a="1"/>
  <c r="N351" i="1" s="1"/>
  <c r="O351" i="1"/>
  <c r="M352" i="1"/>
  <c r="N352" i="1" s="1" a="1"/>
  <c r="N352" i="1" s="1"/>
  <c r="O352" i="1"/>
  <c r="M353" i="1"/>
  <c r="N353" i="1" s="1" a="1"/>
  <c r="N353" i="1" s="1"/>
  <c r="O353" i="1"/>
  <c r="M354" i="1"/>
  <c r="N354" i="1" s="1" a="1"/>
  <c r="N354" i="1" s="1"/>
  <c r="O354" i="1"/>
  <c r="M355" i="1"/>
  <c r="N355" i="1" s="1" a="1"/>
  <c r="N355" i="1" s="1"/>
  <c r="O355" i="1"/>
  <c r="M356" i="1"/>
  <c r="N356" i="1" s="1" a="1"/>
  <c r="N356" i="1" s="1"/>
  <c r="O356" i="1"/>
  <c r="M357" i="1"/>
  <c r="N357" i="1" s="1" a="1"/>
  <c r="N357" i="1" s="1"/>
  <c r="O357" i="1"/>
  <c r="M358" i="1"/>
  <c r="N358" i="1" s="1" a="1"/>
  <c r="N358" i="1" s="1"/>
  <c r="O358" i="1"/>
  <c r="M359" i="1"/>
  <c r="N359" i="1" s="1" a="1"/>
  <c r="N359" i="1" s="1"/>
  <c r="O359" i="1"/>
  <c r="M360" i="1"/>
  <c r="N360" i="1" s="1" a="1"/>
  <c r="N360" i="1" s="1"/>
  <c r="O360" i="1"/>
  <c r="M361" i="1"/>
  <c r="N361" i="1" s="1" a="1"/>
  <c r="N361" i="1" s="1"/>
  <c r="O361" i="1"/>
  <c r="M362" i="1"/>
  <c r="N362" i="1" s="1" a="1"/>
  <c r="N362" i="1" s="1"/>
  <c r="O362" i="1"/>
  <c r="M363" i="1"/>
  <c r="N363" i="1" s="1" a="1"/>
  <c r="N363" i="1" s="1"/>
  <c r="O363" i="1"/>
  <c r="M364" i="1"/>
  <c r="N364" i="1" s="1" a="1"/>
  <c r="N364" i="1" s="1"/>
  <c r="O364" i="1"/>
  <c r="M365" i="1"/>
  <c r="N365" i="1" s="1" a="1"/>
  <c r="N365" i="1" s="1"/>
  <c r="O365" i="1"/>
  <c r="M366" i="1"/>
  <c r="N366" i="1" s="1" a="1"/>
  <c r="N366" i="1" s="1"/>
  <c r="O366" i="1"/>
  <c r="M367" i="1"/>
  <c r="N367" i="1" s="1" a="1"/>
  <c r="N367" i="1" s="1"/>
  <c r="O367" i="1"/>
  <c r="M368" i="1"/>
  <c r="N368" i="1" s="1" a="1"/>
  <c r="N368" i="1" s="1"/>
  <c r="O368" i="1"/>
  <c r="M369" i="1"/>
  <c r="N369" i="1" s="1" a="1"/>
  <c r="N369" i="1" s="1"/>
  <c r="O369" i="1"/>
  <c r="M370" i="1"/>
  <c r="N370" i="1" s="1" a="1"/>
  <c r="N370" i="1" s="1"/>
  <c r="O370" i="1"/>
  <c r="M371" i="1"/>
  <c r="N371" i="1" s="1" a="1"/>
  <c r="N371" i="1" s="1"/>
  <c r="O371" i="1"/>
  <c r="M372" i="1"/>
  <c r="N372" i="1" s="1" a="1"/>
  <c r="N372" i="1" s="1"/>
  <c r="O372" i="1"/>
  <c r="M373" i="1"/>
  <c r="N373" i="1" s="1" a="1"/>
  <c r="N373" i="1" s="1"/>
  <c r="O373" i="1"/>
  <c r="M374" i="1"/>
  <c r="N374" i="1" s="1" a="1"/>
  <c r="N374" i="1" s="1"/>
  <c r="O374" i="1"/>
  <c r="M375" i="1"/>
  <c r="N375" i="1" s="1" a="1"/>
  <c r="N375" i="1" s="1"/>
  <c r="O375" i="1"/>
  <c r="M376" i="1"/>
  <c r="N376" i="1" s="1" a="1"/>
  <c r="N376" i="1" s="1"/>
  <c r="O376" i="1"/>
  <c r="M377" i="1"/>
  <c r="N377" i="1" s="1" a="1"/>
  <c r="N377" i="1" s="1"/>
  <c r="O377" i="1"/>
  <c r="M378" i="1"/>
  <c r="N378" i="1" s="1" a="1"/>
  <c r="N378" i="1" s="1"/>
  <c r="O378" i="1"/>
  <c r="M379" i="1"/>
  <c r="N379" i="1" s="1" a="1"/>
  <c r="N379" i="1" s="1"/>
  <c r="O379" i="1"/>
  <c r="M380" i="1"/>
  <c r="N380" i="1" s="1" a="1"/>
  <c r="N380" i="1" s="1"/>
  <c r="O380" i="1"/>
  <c r="M381" i="1"/>
  <c r="N381" i="1" s="1" a="1"/>
  <c r="N381" i="1" s="1"/>
  <c r="O381" i="1"/>
  <c r="M382" i="1"/>
  <c r="N382" i="1" s="1" a="1"/>
  <c r="N382" i="1" s="1"/>
  <c r="O382" i="1"/>
  <c r="M383" i="1"/>
  <c r="N383" i="1" s="1" a="1"/>
  <c r="N383" i="1" s="1"/>
  <c r="O383" i="1"/>
  <c r="M384" i="1"/>
  <c r="N384" i="1" s="1" a="1"/>
  <c r="N384" i="1" s="1"/>
  <c r="O384" i="1"/>
  <c r="M385" i="1"/>
  <c r="N385" i="1" s="1" a="1"/>
  <c r="N385" i="1" s="1"/>
  <c r="O385" i="1"/>
  <c r="M386" i="1"/>
  <c r="N386" i="1" s="1" a="1"/>
  <c r="N386" i="1" s="1"/>
  <c r="O386" i="1"/>
  <c r="M387" i="1"/>
  <c r="N387" i="1" s="1" a="1"/>
  <c r="N387" i="1" s="1"/>
  <c r="O387" i="1"/>
  <c r="M388" i="1"/>
  <c r="N388" i="1" s="1" a="1"/>
  <c r="N388" i="1" s="1"/>
  <c r="O388" i="1"/>
  <c r="M389" i="1"/>
  <c r="N389" i="1" s="1" a="1"/>
  <c r="N389" i="1" s="1"/>
  <c r="O389" i="1"/>
  <c r="M390" i="1"/>
  <c r="N390" i="1" s="1" a="1"/>
  <c r="N390" i="1" s="1"/>
  <c r="O390" i="1"/>
  <c r="M391" i="1"/>
  <c r="N391" i="1" s="1" a="1"/>
  <c r="N391" i="1" s="1"/>
  <c r="O391" i="1"/>
  <c r="M392" i="1"/>
  <c r="N392" i="1" s="1" a="1"/>
  <c r="N392" i="1" s="1"/>
  <c r="O392" i="1"/>
  <c r="M393" i="1"/>
  <c r="N393" i="1" s="1" a="1"/>
  <c r="N393" i="1" s="1"/>
  <c r="O393" i="1"/>
  <c r="M394" i="1"/>
  <c r="N394" i="1" s="1" a="1"/>
  <c r="N394" i="1" s="1"/>
  <c r="O394" i="1"/>
  <c r="M395" i="1"/>
  <c r="N395" i="1" s="1" a="1"/>
  <c r="N395" i="1" s="1"/>
  <c r="O395" i="1"/>
  <c r="M396" i="1"/>
  <c r="N396" i="1" s="1" a="1"/>
  <c r="N396" i="1" s="1"/>
  <c r="O396" i="1"/>
  <c r="M397" i="1"/>
  <c r="N397" i="1" s="1" a="1"/>
  <c r="N397" i="1" s="1"/>
  <c r="O397" i="1"/>
  <c r="M398" i="1"/>
  <c r="N398" i="1" s="1" a="1"/>
  <c r="N398" i="1" s="1"/>
  <c r="O398" i="1"/>
  <c r="M399" i="1"/>
  <c r="N399" i="1" s="1" a="1"/>
  <c r="N399" i="1" s="1"/>
  <c r="O399" i="1"/>
  <c r="M400" i="1"/>
  <c r="N400" i="1" s="1" a="1"/>
  <c r="N400" i="1" s="1"/>
  <c r="O400" i="1"/>
  <c r="M401" i="1"/>
  <c r="N401" i="1" s="1" a="1"/>
  <c r="N401" i="1" s="1"/>
  <c r="O401" i="1"/>
  <c r="M402" i="1"/>
  <c r="N402" i="1" s="1" a="1"/>
  <c r="N402" i="1" s="1"/>
  <c r="O402" i="1"/>
  <c r="M403" i="1"/>
  <c r="N403" i="1" s="1" a="1"/>
  <c r="N403" i="1" s="1"/>
  <c r="O403" i="1"/>
  <c r="M404" i="1"/>
  <c r="N404" i="1" s="1" a="1"/>
  <c r="N404" i="1" s="1"/>
  <c r="O404" i="1"/>
  <c r="M405" i="1"/>
  <c r="N405" i="1" s="1" a="1"/>
  <c r="N405" i="1" s="1"/>
  <c r="O405" i="1"/>
  <c r="M406" i="1"/>
  <c r="N406" i="1" s="1" a="1"/>
  <c r="N406" i="1" s="1"/>
  <c r="O406" i="1"/>
  <c r="M407" i="1"/>
  <c r="N407" i="1" s="1" a="1"/>
  <c r="N407" i="1" s="1"/>
  <c r="O407" i="1"/>
  <c r="M408" i="1"/>
  <c r="N408" i="1" s="1" a="1"/>
  <c r="N408" i="1" s="1"/>
  <c r="O408" i="1"/>
  <c r="M409" i="1"/>
  <c r="N409" i="1" s="1" a="1"/>
  <c r="N409" i="1" s="1"/>
  <c r="O409" i="1"/>
  <c r="M410" i="1"/>
  <c r="N410" i="1" s="1" a="1"/>
  <c r="N410" i="1" s="1"/>
  <c r="O410" i="1"/>
  <c r="M411" i="1"/>
  <c r="N411" i="1" s="1" a="1"/>
  <c r="N411" i="1" s="1"/>
  <c r="O411" i="1"/>
  <c r="M412" i="1"/>
  <c r="N412" i="1" s="1" a="1"/>
  <c r="N412" i="1" s="1"/>
  <c r="O412" i="1"/>
  <c r="M413" i="1"/>
  <c r="N413" i="1" s="1" a="1"/>
  <c r="N413" i="1" s="1"/>
  <c r="O413" i="1"/>
  <c r="M414" i="1"/>
  <c r="N414" i="1" s="1" a="1"/>
  <c r="N414" i="1" s="1"/>
  <c r="O414" i="1"/>
  <c r="M415" i="1"/>
  <c r="N415" i="1" s="1" a="1"/>
  <c r="N415" i="1" s="1"/>
  <c r="O415" i="1"/>
  <c r="M416" i="1"/>
  <c r="N416" i="1" s="1" a="1"/>
  <c r="N416" i="1" s="1"/>
  <c r="O416" i="1"/>
  <c r="M417" i="1"/>
  <c r="N417" i="1" s="1" a="1"/>
  <c r="N417" i="1" s="1"/>
  <c r="O417" i="1"/>
  <c r="M418" i="1"/>
  <c r="N418" i="1" s="1" a="1"/>
  <c r="N418" i="1" s="1"/>
  <c r="O418" i="1"/>
  <c r="M419" i="1"/>
  <c r="N419" i="1" s="1" a="1"/>
  <c r="N419" i="1" s="1"/>
  <c r="O419" i="1"/>
  <c r="M420" i="1"/>
  <c r="N420" i="1" s="1" a="1"/>
  <c r="N420" i="1" s="1"/>
  <c r="O420" i="1"/>
  <c r="M421" i="1"/>
  <c r="N421" i="1" s="1" a="1"/>
  <c r="N421" i="1" s="1"/>
  <c r="O421" i="1"/>
  <c r="M422" i="1"/>
  <c r="N422" i="1" s="1" a="1"/>
  <c r="N422" i="1" s="1"/>
  <c r="O422" i="1"/>
  <c r="M423" i="1"/>
  <c r="N423" i="1" s="1" a="1"/>
  <c r="N423" i="1" s="1"/>
  <c r="O423" i="1"/>
  <c r="M424" i="1"/>
  <c r="N424" i="1" s="1" a="1"/>
  <c r="N424" i="1" s="1"/>
  <c r="O424" i="1"/>
  <c r="M425" i="1"/>
  <c r="N425" i="1" s="1" a="1"/>
  <c r="N425" i="1" s="1"/>
  <c r="O425" i="1"/>
  <c r="M426" i="1"/>
  <c r="N426" i="1" s="1" a="1"/>
  <c r="N426" i="1" s="1"/>
  <c r="O426" i="1"/>
  <c r="M427" i="1"/>
  <c r="N427" i="1" s="1" a="1"/>
  <c r="N427" i="1" s="1"/>
  <c r="O427" i="1"/>
  <c r="M428" i="1"/>
  <c r="N428" i="1" s="1" a="1"/>
  <c r="N428" i="1" s="1"/>
  <c r="O428" i="1"/>
  <c r="M429" i="1"/>
  <c r="N429" i="1" s="1" a="1"/>
  <c r="N429" i="1" s="1"/>
  <c r="O429" i="1"/>
  <c r="M430" i="1"/>
  <c r="N430" i="1" s="1" a="1"/>
  <c r="N430" i="1" s="1"/>
  <c r="O430" i="1"/>
  <c r="M431" i="1"/>
  <c r="N431" i="1" s="1" a="1"/>
  <c r="N431" i="1" s="1"/>
  <c r="O431" i="1"/>
  <c r="M432" i="1"/>
  <c r="N432" i="1" s="1" a="1"/>
  <c r="N432" i="1" s="1"/>
  <c r="O432" i="1"/>
  <c r="M433" i="1"/>
  <c r="N433" i="1" s="1" a="1"/>
  <c r="N433" i="1" s="1"/>
  <c r="O433" i="1"/>
  <c r="M434" i="1"/>
  <c r="N434" i="1" s="1" a="1"/>
  <c r="N434" i="1" s="1"/>
  <c r="O434" i="1"/>
  <c r="M435" i="1"/>
  <c r="N435" i="1" s="1" a="1"/>
  <c r="N435" i="1" s="1"/>
  <c r="O435" i="1"/>
  <c r="M436" i="1"/>
  <c r="N436" i="1" s="1" a="1"/>
  <c r="N436" i="1" s="1"/>
  <c r="O436" i="1"/>
  <c r="M437" i="1"/>
  <c r="N437" i="1" s="1" a="1"/>
  <c r="N437" i="1" s="1"/>
  <c r="O437" i="1"/>
  <c r="M438" i="1"/>
  <c r="N438" i="1" s="1" a="1"/>
  <c r="N438" i="1" s="1"/>
  <c r="O438" i="1"/>
  <c r="M439" i="1"/>
  <c r="N439" i="1" s="1" a="1"/>
  <c r="N439" i="1" s="1"/>
  <c r="O439" i="1"/>
  <c r="M440" i="1"/>
  <c r="N440" i="1" s="1" a="1"/>
  <c r="N440" i="1" s="1"/>
  <c r="O440" i="1"/>
  <c r="M441" i="1"/>
  <c r="N441" i="1" s="1" a="1"/>
  <c r="N441" i="1" s="1"/>
  <c r="O441" i="1"/>
  <c r="M442" i="1"/>
  <c r="N442" i="1" s="1" a="1"/>
  <c r="N442" i="1" s="1"/>
  <c r="O442" i="1"/>
  <c r="M443" i="1"/>
  <c r="N443" i="1" s="1" a="1"/>
  <c r="N443" i="1" s="1"/>
  <c r="O443" i="1"/>
  <c r="M444" i="1"/>
  <c r="N444" i="1" s="1" a="1"/>
  <c r="N444" i="1" s="1"/>
  <c r="O444" i="1"/>
  <c r="M445" i="1"/>
  <c r="N445" i="1" s="1" a="1"/>
  <c r="N445" i="1" s="1"/>
  <c r="O445" i="1"/>
  <c r="M446" i="1"/>
  <c r="N446" i="1" s="1" a="1"/>
  <c r="N446" i="1" s="1"/>
  <c r="O446" i="1"/>
  <c r="M447" i="1"/>
  <c r="N447" i="1" s="1" a="1"/>
  <c r="N447" i="1" s="1"/>
  <c r="O447" i="1"/>
  <c r="M448" i="1"/>
  <c r="N448" i="1" s="1" a="1"/>
  <c r="N448" i="1" s="1"/>
  <c r="O448" i="1"/>
  <c r="M449" i="1"/>
  <c r="N449" i="1" s="1" a="1"/>
  <c r="N449" i="1" s="1"/>
  <c r="O449" i="1"/>
  <c r="M450" i="1"/>
  <c r="N450" i="1" s="1" a="1"/>
  <c r="N450" i="1" s="1"/>
  <c r="O450" i="1"/>
  <c r="M451" i="1"/>
  <c r="N451" i="1" s="1" a="1"/>
  <c r="N451" i="1" s="1"/>
  <c r="O451" i="1"/>
  <c r="M452" i="1"/>
  <c r="N452" i="1" s="1" a="1"/>
  <c r="N452" i="1" s="1"/>
  <c r="O452" i="1"/>
  <c r="M453" i="1"/>
  <c r="N453" i="1" s="1" a="1"/>
  <c r="N453" i="1" s="1"/>
  <c r="O453" i="1"/>
  <c r="M454" i="1"/>
  <c r="N454" i="1" s="1" a="1"/>
  <c r="N454" i="1" s="1"/>
  <c r="O454" i="1"/>
  <c r="M455" i="1"/>
  <c r="N455" i="1" s="1" a="1"/>
  <c r="N455" i="1" s="1"/>
  <c r="O455" i="1"/>
  <c r="M456" i="1"/>
  <c r="N456" i="1" s="1" a="1"/>
  <c r="N456" i="1" s="1"/>
  <c r="O456" i="1"/>
  <c r="M457" i="1"/>
  <c r="N457" i="1" s="1" a="1"/>
  <c r="N457" i="1" s="1"/>
  <c r="O457" i="1"/>
  <c r="M458" i="1"/>
  <c r="N458" i="1" s="1" a="1"/>
  <c r="N458" i="1" s="1"/>
  <c r="O458" i="1"/>
  <c r="M459" i="1"/>
  <c r="N459" i="1" s="1" a="1"/>
  <c r="N459" i="1" s="1"/>
  <c r="O459" i="1"/>
  <c r="M460" i="1"/>
  <c r="N460" i="1" s="1" a="1"/>
  <c r="N460" i="1" s="1"/>
  <c r="O460" i="1"/>
  <c r="M461" i="1"/>
  <c r="N461" i="1" s="1" a="1"/>
  <c r="N461" i="1" s="1"/>
  <c r="O461" i="1"/>
  <c r="M462" i="1"/>
  <c r="N462" i="1" s="1" a="1"/>
  <c r="N462" i="1" s="1"/>
  <c r="O462" i="1"/>
  <c r="M463" i="1"/>
  <c r="N463" i="1" s="1" a="1"/>
  <c r="N463" i="1" s="1"/>
  <c r="O463" i="1"/>
  <c r="M464" i="1"/>
  <c r="N464" i="1" s="1" a="1"/>
  <c r="N464" i="1" s="1"/>
  <c r="O464" i="1"/>
  <c r="M465" i="1"/>
  <c r="N465" i="1" s="1" a="1"/>
  <c r="N465" i="1" s="1"/>
  <c r="O465" i="1"/>
  <c r="M466" i="1"/>
  <c r="N466" i="1" s="1" a="1"/>
  <c r="N466" i="1" s="1"/>
  <c r="O466" i="1"/>
  <c r="M467" i="1"/>
  <c r="N467" i="1" s="1" a="1"/>
  <c r="N467" i="1" s="1"/>
  <c r="O467" i="1"/>
  <c r="M468" i="1"/>
  <c r="N468" i="1" s="1" a="1"/>
  <c r="N468" i="1" s="1"/>
  <c r="O468" i="1"/>
  <c r="M469" i="1"/>
  <c r="N469" i="1" s="1" a="1"/>
  <c r="N469" i="1" s="1"/>
  <c r="O469" i="1"/>
  <c r="M470" i="1"/>
  <c r="N470" i="1" s="1" a="1"/>
  <c r="N470" i="1" s="1"/>
  <c r="O470" i="1"/>
  <c r="M471" i="1"/>
  <c r="N471" i="1" s="1" a="1"/>
  <c r="N471" i="1" s="1"/>
  <c r="O471" i="1"/>
  <c r="M472" i="1"/>
  <c r="N472" i="1" s="1" a="1"/>
  <c r="N472" i="1" s="1"/>
  <c r="O472" i="1"/>
  <c r="M473" i="1"/>
  <c r="N473" i="1" s="1" a="1"/>
  <c r="N473" i="1" s="1"/>
  <c r="O473" i="1"/>
  <c r="M474" i="1"/>
  <c r="N474" i="1" s="1" a="1"/>
  <c r="N474" i="1" s="1"/>
  <c r="O474" i="1"/>
  <c r="M475" i="1"/>
  <c r="N475" i="1" s="1" a="1"/>
  <c r="N475" i="1" s="1"/>
  <c r="O475" i="1"/>
  <c r="M476" i="1"/>
  <c r="N476" i="1" s="1" a="1"/>
  <c r="N476" i="1" s="1"/>
  <c r="O476" i="1"/>
  <c r="M477" i="1"/>
  <c r="N477" i="1" s="1" a="1"/>
  <c r="N477" i="1" s="1"/>
  <c r="O477" i="1"/>
  <c r="M478" i="1"/>
  <c r="N478" i="1" s="1" a="1"/>
  <c r="N478" i="1" s="1"/>
  <c r="O478" i="1"/>
  <c r="M479" i="1"/>
  <c r="N479" i="1" s="1" a="1"/>
  <c r="N479" i="1" s="1"/>
  <c r="O479" i="1"/>
  <c r="M480" i="1"/>
  <c r="N480" i="1" s="1" a="1"/>
  <c r="N480" i="1" s="1"/>
  <c r="O480" i="1"/>
  <c r="M481" i="1"/>
  <c r="N481" i="1" s="1" a="1"/>
  <c r="N481" i="1" s="1"/>
  <c r="O481" i="1"/>
  <c r="M482" i="1"/>
  <c r="N482" i="1" s="1" a="1"/>
  <c r="N482" i="1" s="1"/>
  <c r="O482" i="1"/>
  <c r="M483" i="1"/>
  <c r="N483" i="1" s="1" a="1"/>
  <c r="N483" i="1" s="1"/>
  <c r="O483" i="1"/>
  <c r="M484" i="1"/>
  <c r="N484" i="1" s="1" a="1"/>
  <c r="N484" i="1" s="1"/>
  <c r="O484" i="1"/>
  <c r="M485" i="1"/>
  <c r="N485" i="1" s="1" a="1"/>
  <c r="N485" i="1" s="1"/>
  <c r="O485" i="1"/>
  <c r="M486" i="1"/>
  <c r="N486" i="1" s="1" a="1"/>
  <c r="N486" i="1" s="1"/>
  <c r="O486" i="1"/>
  <c r="M487" i="1"/>
  <c r="N487" i="1" s="1" a="1"/>
  <c r="N487" i="1" s="1"/>
  <c r="O487" i="1"/>
  <c r="M488" i="1"/>
  <c r="N488" i="1" s="1" a="1"/>
  <c r="N488" i="1" s="1"/>
  <c r="O488" i="1"/>
  <c r="M489" i="1"/>
  <c r="N489" i="1" s="1" a="1"/>
  <c r="N489" i="1" s="1"/>
  <c r="O489" i="1"/>
  <c r="M490" i="1"/>
  <c r="N490" i="1" s="1" a="1"/>
  <c r="N490" i="1" s="1"/>
  <c r="O490" i="1"/>
  <c r="M491" i="1"/>
  <c r="N491" i="1" s="1" a="1"/>
  <c r="N491" i="1" s="1"/>
  <c r="O491" i="1"/>
  <c r="M492" i="1"/>
  <c r="N492" i="1" s="1" a="1"/>
  <c r="N492" i="1" s="1"/>
  <c r="O492" i="1"/>
  <c r="M493" i="1"/>
  <c r="N493" i="1" s="1" a="1"/>
  <c r="N493" i="1" s="1"/>
  <c r="O493" i="1"/>
  <c r="M494" i="1"/>
  <c r="N494" i="1" s="1" a="1"/>
  <c r="N494" i="1" s="1"/>
  <c r="O494" i="1"/>
  <c r="M495" i="1"/>
  <c r="N495" i="1" s="1" a="1"/>
  <c r="N495" i="1" s="1"/>
  <c r="O495" i="1"/>
  <c r="M496" i="1"/>
  <c r="N496" i="1" s="1" a="1"/>
  <c r="N496" i="1" s="1"/>
  <c r="O496" i="1"/>
  <c r="M497" i="1"/>
  <c r="N497" i="1" s="1" a="1"/>
  <c r="N497" i="1" s="1"/>
  <c r="O497" i="1"/>
  <c r="M498" i="1"/>
  <c r="N498" i="1" s="1" a="1"/>
  <c r="N498" i="1" s="1"/>
  <c r="O498" i="1"/>
  <c r="M499" i="1"/>
  <c r="N499" i="1" s="1" a="1"/>
  <c r="N499" i="1" s="1"/>
  <c r="O499" i="1"/>
  <c r="M500" i="1"/>
  <c r="N500" i="1" s="1" a="1"/>
  <c r="N500" i="1" s="1"/>
  <c r="O500" i="1"/>
  <c r="M501" i="1"/>
  <c r="N501" i="1" s="1" a="1"/>
  <c r="N501" i="1" s="1"/>
  <c r="O501" i="1"/>
  <c r="M502" i="1"/>
  <c r="N502" i="1" s="1" a="1"/>
  <c r="N502" i="1" s="1"/>
  <c r="O502" i="1"/>
  <c r="M503" i="1"/>
  <c r="N503" i="1" s="1" a="1"/>
  <c r="N503" i="1" s="1"/>
  <c r="O503" i="1"/>
  <c r="M504" i="1"/>
  <c r="N504" i="1" s="1" a="1"/>
  <c r="N504" i="1" s="1"/>
  <c r="O504" i="1"/>
  <c r="M505" i="1"/>
  <c r="N505" i="1" s="1" a="1"/>
  <c r="N505" i="1" s="1"/>
  <c r="O505" i="1"/>
  <c r="M506" i="1"/>
  <c r="N506" i="1" s="1" a="1"/>
  <c r="N506" i="1" s="1"/>
  <c r="O506" i="1"/>
  <c r="M507" i="1"/>
  <c r="N507" i="1" s="1" a="1"/>
  <c r="N507" i="1" s="1"/>
  <c r="O507" i="1"/>
  <c r="M508" i="1"/>
  <c r="N508" i="1" s="1" a="1"/>
  <c r="N508" i="1" s="1"/>
  <c r="O508" i="1"/>
  <c r="M509" i="1"/>
  <c r="N509" i="1" s="1" a="1"/>
  <c r="N509" i="1" s="1"/>
  <c r="O509" i="1"/>
  <c r="M510" i="1"/>
  <c r="N510" i="1" s="1" a="1"/>
  <c r="N510" i="1" s="1"/>
  <c r="O510" i="1"/>
  <c r="M511" i="1"/>
  <c r="N511" i="1" s="1" a="1"/>
  <c r="N511" i="1" s="1"/>
  <c r="O511" i="1"/>
  <c r="M512" i="1"/>
  <c r="N512" i="1" s="1" a="1"/>
  <c r="N512" i="1" s="1"/>
  <c r="O512" i="1"/>
  <c r="M513" i="1"/>
  <c r="N513" i="1" s="1" a="1"/>
  <c r="N513" i="1" s="1"/>
  <c r="O513" i="1"/>
  <c r="M514" i="1"/>
  <c r="N514" i="1" s="1" a="1"/>
  <c r="N514" i="1" s="1"/>
  <c r="O514" i="1"/>
  <c r="M515" i="1"/>
  <c r="N515" i="1" s="1" a="1"/>
  <c r="N515" i="1" s="1"/>
  <c r="O515" i="1"/>
  <c r="M516" i="1"/>
  <c r="N516" i="1" s="1" a="1"/>
  <c r="N516" i="1" s="1"/>
  <c r="O516" i="1"/>
  <c r="M517" i="1"/>
  <c r="N517" i="1" s="1" a="1"/>
  <c r="N517" i="1" s="1"/>
  <c r="O517" i="1"/>
  <c r="M518" i="1"/>
  <c r="N518" i="1" s="1" a="1"/>
  <c r="N518" i="1" s="1"/>
  <c r="O518" i="1"/>
  <c r="M519" i="1"/>
  <c r="N519" i="1" s="1" a="1"/>
  <c r="N519" i="1" s="1"/>
  <c r="O519" i="1"/>
  <c r="M520" i="1"/>
  <c r="N520" i="1" s="1" a="1"/>
  <c r="N520" i="1" s="1"/>
  <c r="O520" i="1"/>
  <c r="M521" i="1"/>
  <c r="N521" i="1" s="1" a="1"/>
  <c r="N521" i="1" s="1"/>
  <c r="O521" i="1"/>
  <c r="M522" i="1"/>
  <c r="N522" i="1" s="1" a="1"/>
  <c r="N522" i="1" s="1"/>
  <c r="O522" i="1"/>
  <c r="M523" i="1"/>
  <c r="N523" i="1" s="1" a="1"/>
  <c r="N523" i="1" s="1"/>
  <c r="O523" i="1"/>
  <c r="M524" i="1"/>
  <c r="N524" i="1" s="1" a="1"/>
  <c r="N524" i="1" s="1"/>
  <c r="O524" i="1"/>
  <c r="M525" i="1"/>
  <c r="N525" i="1" s="1" a="1"/>
  <c r="N525" i="1" s="1"/>
  <c r="O525" i="1"/>
  <c r="M526" i="1"/>
  <c r="N526" i="1" s="1" a="1"/>
  <c r="N526" i="1" s="1"/>
  <c r="O526" i="1"/>
  <c r="M527" i="1"/>
  <c r="N527" i="1" s="1" a="1"/>
  <c r="N527" i="1" s="1"/>
  <c r="O527" i="1"/>
  <c r="M528" i="1"/>
  <c r="N528" i="1" s="1" a="1"/>
  <c r="N528" i="1" s="1"/>
  <c r="O528" i="1"/>
  <c r="M529" i="1"/>
  <c r="N529" i="1" s="1" a="1"/>
  <c r="N529" i="1" s="1"/>
  <c r="O529" i="1"/>
  <c r="M530" i="1"/>
  <c r="N530" i="1" s="1" a="1"/>
  <c r="N530" i="1" s="1"/>
  <c r="O530" i="1"/>
  <c r="M531" i="1"/>
  <c r="N531" i="1" s="1" a="1"/>
  <c r="N531" i="1" s="1"/>
  <c r="O531" i="1"/>
  <c r="M532" i="1"/>
  <c r="N532" i="1" s="1" a="1"/>
  <c r="N532" i="1" s="1"/>
  <c r="O532" i="1"/>
  <c r="M533" i="1"/>
  <c r="N533" i="1" s="1" a="1"/>
  <c r="N533" i="1" s="1"/>
  <c r="O533" i="1"/>
  <c r="M534" i="1"/>
  <c r="N534" i="1" s="1" a="1"/>
  <c r="N534" i="1" s="1"/>
  <c r="O534" i="1"/>
  <c r="M535" i="1"/>
  <c r="N535" i="1" s="1" a="1"/>
  <c r="N535" i="1" s="1"/>
  <c r="O535" i="1"/>
  <c r="M536" i="1"/>
  <c r="N536" i="1" s="1" a="1"/>
  <c r="N536" i="1" s="1"/>
  <c r="O536" i="1"/>
  <c r="M537" i="1"/>
  <c r="N537" i="1" s="1" a="1"/>
  <c r="N537" i="1" s="1"/>
  <c r="O537" i="1"/>
  <c r="M538" i="1"/>
  <c r="N538" i="1" s="1" a="1"/>
  <c r="N538" i="1" s="1"/>
  <c r="O538" i="1"/>
  <c r="M539" i="1"/>
  <c r="N539" i="1" s="1" a="1"/>
  <c r="N539" i="1" s="1"/>
  <c r="O539" i="1"/>
  <c r="M540" i="1"/>
  <c r="N540" i="1" s="1" a="1"/>
  <c r="N540" i="1" s="1"/>
  <c r="O540" i="1"/>
  <c r="M541" i="1"/>
  <c r="N541" i="1" s="1" a="1"/>
  <c r="N541" i="1" s="1"/>
  <c r="O541" i="1"/>
  <c r="M542" i="1"/>
  <c r="N542" i="1" s="1" a="1"/>
  <c r="N542" i="1" s="1"/>
  <c r="O542" i="1"/>
  <c r="M543" i="1"/>
  <c r="N543" i="1" s="1" a="1"/>
  <c r="N543" i="1" s="1"/>
  <c r="O543" i="1"/>
  <c r="M544" i="1"/>
  <c r="N544" i="1" s="1" a="1"/>
  <c r="N544" i="1" s="1"/>
  <c r="O544" i="1"/>
  <c r="M545" i="1"/>
  <c r="N545" i="1" s="1" a="1"/>
  <c r="N545" i="1" s="1"/>
  <c r="O545" i="1"/>
  <c r="M546" i="1"/>
  <c r="N546" i="1" s="1" a="1"/>
  <c r="N546" i="1" s="1"/>
  <c r="O546" i="1"/>
  <c r="M547" i="1"/>
  <c r="N547" i="1" s="1" a="1"/>
  <c r="N547" i="1" s="1"/>
  <c r="O547" i="1"/>
  <c r="M548" i="1"/>
  <c r="N548" i="1" s="1" a="1"/>
  <c r="N548" i="1" s="1"/>
  <c r="O548" i="1"/>
  <c r="M549" i="1"/>
  <c r="N549" i="1" s="1" a="1"/>
  <c r="N549" i="1" s="1"/>
  <c r="O549" i="1"/>
  <c r="M550" i="1"/>
  <c r="N550" i="1" s="1" a="1"/>
  <c r="N550" i="1" s="1"/>
  <c r="O550" i="1"/>
  <c r="M551" i="1"/>
  <c r="N551" i="1" s="1" a="1"/>
  <c r="N551" i="1" s="1"/>
  <c r="O551" i="1"/>
  <c r="M552" i="1"/>
  <c r="N552" i="1" s="1" a="1"/>
  <c r="N552" i="1" s="1"/>
  <c r="O552" i="1"/>
  <c r="M553" i="1"/>
  <c r="N553" i="1" s="1" a="1"/>
  <c r="N553" i="1" s="1"/>
  <c r="O553" i="1"/>
  <c r="M554" i="1"/>
  <c r="N554" i="1" s="1" a="1"/>
  <c r="N554" i="1" s="1"/>
  <c r="O554" i="1"/>
  <c r="M555" i="1"/>
  <c r="N555" i="1" s="1" a="1"/>
  <c r="N555" i="1" s="1"/>
  <c r="O555" i="1"/>
  <c r="M556" i="1"/>
  <c r="N556" i="1" s="1" a="1"/>
  <c r="N556" i="1" s="1"/>
  <c r="O556" i="1"/>
  <c r="M557" i="1"/>
  <c r="N557" i="1" s="1" a="1"/>
  <c r="N557" i="1" s="1"/>
  <c r="O557" i="1"/>
  <c r="M558" i="1"/>
  <c r="N558" i="1" s="1" a="1"/>
  <c r="N558" i="1" s="1"/>
  <c r="O558" i="1"/>
  <c r="M559" i="1"/>
  <c r="N559" i="1" s="1" a="1"/>
  <c r="N559" i="1" s="1"/>
  <c r="O559" i="1"/>
  <c r="M560" i="1"/>
  <c r="N560" i="1" s="1" a="1"/>
  <c r="N560" i="1" s="1"/>
  <c r="O560" i="1"/>
  <c r="M561" i="1"/>
  <c r="N561" i="1" s="1" a="1"/>
  <c r="N561" i="1" s="1"/>
  <c r="O561" i="1"/>
  <c r="M562" i="1"/>
  <c r="N562" i="1" s="1" a="1"/>
  <c r="N562" i="1" s="1"/>
  <c r="O562" i="1"/>
  <c r="M563" i="1"/>
  <c r="N563" i="1" s="1" a="1"/>
  <c r="N563" i="1" s="1"/>
  <c r="O563" i="1"/>
  <c r="M564" i="1"/>
  <c r="N564" i="1" s="1" a="1"/>
  <c r="N564" i="1" s="1"/>
  <c r="O564" i="1"/>
  <c r="M565" i="1"/>
  <c r="N565" i="1" s="1" a="1"/>
  <c r="N565" i="1" s="1"/>
  <c r="O565" i="1"/>
  <c r="M566" i="1"/>
  <c r="N566" i="1" s="1" a="1"/>
  <c r="N566" i="1" s="1"/>
  <c r="O566" i="1"/>
  <c r="M567" i="1"/>
  <c r="N567" i="1" s="1" a="1"/>
  <c r="N567" i="1" s="1"/>
  <c r="O567" i="1"/>
  <c r="M568" i="1"/>
  <c r="N568" i="1" s="1" a="1"/>
  <c r="N568" i="1" s="1"/>
  <c r="O568" i="1"/>
  <c r="M569" i="1"/>
  <c r="N569" i="1" s="1" a="1"/>
  <c r="N569" i="1" s="1"/>
  <c r="O569" i="1"/>
  <c r="M570" i="1"/>
  <c r="N570" i="1" s="1" a="1"/>
  <c r="N570" i="1" s="1"/>
  <c r="O570" i="1"/>
  <c r="M571" i="1"/>
  <c r="N571" i="1" s="1" a="1"/>
  <c r="N571" i="1" s="1"/>
  <c r="O571" i="1"/>
  <c r="M572" i="1"/>
  <c r="N572" i="1" s="1" a="1"/>
  <c r="N572" i="1" s="1"/>
  <c r="O572" i="1"/>
  <c r="M573" i="1"/>
  <c r="N573" i="1" s="1" a="1"/>
  <c r="N573" i="1" s="1"/>
  <c r="O573" i="1"/>
  <c r="M574" i="1"/>
  <c r="N574" i="1" s="1" a="1"/>
  <c r="N574" i="1" s="1"/>
  <c r="O574" i="1"/>
  <c r="M575" i="1"/>
  <c r="N575" i="1" s="1" a="1"/>
  <c r="N575" i="1" s="1"/>
  <c r="O575" i="1"/>
  <c r="M576" i="1"/>
  <c r="N576" i="1" s="1" a="1"/>
  <c r="N576" i="1" s="1"/>
  <c r="O576" i="1"/>
  <c r="M577" i="1"/>
  <c r="N577" i="1" s="1" a="1"/>
  <c r="N577" i="1" s="1"/>
  <c r="O577" i="1"/>
  <c r="M578" i="1"/>
  <c r="N578" i="1" s="1" a="1"/>
  <c r="N578" i="1" s="1"/>
  <c r="O578" i="1"/>
  <c r="M579" i="1"/>
  <c r="N579" i="1" s="1" a="1"/>
  <c r="N579" i="1" s="1"/>
  <c r="O579" i="1"/>
  <c r="M580" i="1"/>
  <c r="N580" i="1" s="1" a="1"/>
  <c r="N580" i="1" s="1"/>
  <c r="O580" i="1"/>
  <c r="M581" i="1"/>
  <c r="N581" i="1" s="1" a="1"/>
  <c r="N581" i="1" s="1"/>
  <c r="O581" i="1"/>
  <c r="M582" i="1"/>
  <c r="N582" i="1" s="1" a="1"/>
  <c r="N582" i="1" s="1"/>
  <c r="O582" i="1"/>
  <c r="M583" i="1"/>
  <c r="N583" i="1" s="1" a="1"/>
  <c r="N583" i="1" s="1"/>
  <c r="O583" i="1"/>
  <c r="M584" i="1"/>
  <c r="N584" i="1" s="1" a="1"/>
  <c r="N584" i="1" s="1"/>
  <c r="O584" i="1"/>
  <c r="M585" i="1"/>
  <c r="N585" i="1" s="1" a="1"/>
  <c r="N585" i="1" s="1"/>
  <c r="O585" i="1"/>
  <c r="M586" i="1"/>
  <c r="N586" i="1" s="1" a="1"/>
  <c r="N586" i="1" s="1"/>
  <c r="O586" i="1"/>
  <c r="M587" i="1"/>
  <c r="N587" i="1" s="1" a="1"/>
  <c r="N587" i="1" s="1"/>
  <c r="O587" i="1"/>
  <c r="M588" i="1"/>
  <c r="N588" i="1" s="1" a="1"/>
  <c r="N588" i="1" s="1"/>
  <c r="O588" i="1"/>
  <c r="M589" i="1"/>
  <c r="N589" i="1" s="1" a="1"/>
  <c r="N589" i="1" s="1"/>
  <c r="O589" i="1"/>
  <c r="M590" i="1"/>
  <c r="N590" i="1" s="1" a="1"/>
  <c r="N590" i="1" s="1"/>
  <c r="O590" i="1"/>
  <c r="M591" i="1"/>
  <c r="N591" i="1" s="1" a="1"/>
  <c r="N591" i="1" s="1"/>
  <c r="O591" i="1"/>
  <c r="M592" i="1"/>
  <c r="N592" i="1" s="1" a="1"/>
  <c r="N592" i="1" s="1"/>
  <c r="O592" i="1"/>
  <c r="M593" i="1"/>
  <c r="N593" i="1" s="1" a="1"/>
  <c r="N593" i="1" s="1"/>
  <c r="O593" i="1"/>
  <c r="M594" i="1"/>
  <c r="N594" i="1" s="1" a="1"/>
  <c r="N594" i="1" s="1"/>
  <c r="O594" i="1"/>
  <c r="M595" i="1"/>
  <c r="N595" i="1" s="1" a="1"/>
  <c r="N595" i="1" s="1"/>
  <c r="O595" i="1"/>
  <c r="M596" i="1"/>
  <c r="N596" i="1" s="1" a="1"/>
  <c r="N596" i="1" s="1"/>
  <c r="O596" i="1"/>
  <c r="M597" i="1"/>
  <c r="N597" i="1" s="1" a="1"/>
  <c r="N597" i="1" s="1"/>
  <c r="O597" i="1"/>
  <c r="M598" i="1"/>
  <c r="N598" i="1" s="1" a="1"/>
  <c r="N598" i="1" s="1"/>
  <c r="O598" i="1"/>
  <c r="M599" i="1"/>
  <c r="N599" i="1" s="1" a="1"/>
  <c r="N599" i="1" s="1"/>
  <c r="O599" i="1"/>
  <c r="M600" i="1"/>
  <c r="N600" i="1" s="1" a="1"/>
  <c r="N600" i="1" s="1"/>
  <c r="O600" i="1"/>
  <c r="M601" i="1"/>
  <c r="N601" i="1" s="1" a="1"/>
  <c r="N601" i="1" s="1"/>
  <c r="O601" i="1"/>
  <c r="M602" i="1"/>
  <c r="N602" i="1" s="1" a="1"/>
  <c r="N602" i="1" s="1"/>
  <c r="O602" i="1"/>
  <c r="M603" i="1"/>
  <c r="N603" i="1" s="1" a="1"/>
  <c r="N603" i="1" s="1"/>
  <c r="O603" i="1"/>
  <c r="M604" i="1"/>
  <c r="N604" i="1" s="1" a="1"/>
  <c r="N604" i="1" s="1"/>
  <c r="O604" i="1"/>
  <c r="M605" i="1"/>
  <c r="N605" i="1" s="1" a="1"/>
  <c r="N605" i="1" s="1"/>
  <c r="O605" i="1"/>
  <c r="M606" i="1"/>
  <c r="N606" i="1" s="1" a="1"/>
  <c r="N606" i="1" s="1"/>
  <c r="O606" i="1"/>
  <c r="M607" i="1"/>
  <c r="N607" i="1" s="1" a="1"/>
  <c r="N607" i="1" s="1"/>
  <c r="O607" i="1"/>
  <c r="M608" i="1"/>
  <c r="N608" i="1" s="1" a="1"/>
  <c r="N608" i="1" s="1"/>
  <c r="O608" i="1"/>
  <c r="M609" i="1"/>
  <c r="N609" i="1" s="1" a="1"/>
  <c r="N609" i="1" s="1"/>
  <c r="O609" i="1"/>
  <c r="M610" i="1"/>
  <c r="N610" i="1" s="1" a="1"/>
  <c r="N610" i="1" s="1"/>
  <c r="O610" i="1"/>
  <c r="M611" i="1"/>
  <c r="N611" i="1" s="1" a="1"/>
  <c r="N611" i="1" s="1"/>
  <c r="O611" i="1"/>
  <c r="M612" i="1"/>
  <c r="N612" i="1" s="1" a="1"/>
  <c r="N612" i="1" s="1"/>
  <c r="O612" i="1"/>
  <c r="M613" i="1"/>
  <c r="N613" i="1" s="1" a="1"/>
  <c r="N613" i="1" s="1"/>
  <c r="O613" i="1"/>
  <c r="M614" i="1"/>
  <c r="N614" i="1" s="1" a="1"/>
  <c r="N614" i="1" s="1"/>
  <c r="O614" i="1"/>
  <c r="M615" i="1"/>
  <c r="N615" i="1" s="1" a="1"/>
  <c r="N615" i="1" s="1"/>
  <c r="O615" i="1"/>
  <c r="M616" i="1"/>
  <c r="N616" i="1" s="1" a="1"/>
  <c r="N616" i="1" s="1"/>
  <c r="O616" i="1"/>
  <c r="M617" i="1"/>
  <c r="N617" i="1" s="1" a="1"/>
  <c r="N617" i="1" s="1"/>
  <c r="O617" i="1"/>
  <c r="M618" i="1"/>
  <c r="N618" i="1" s="1" a="1"/>
  <c r="N618" i="1" s="1"/>
  <c r="O618" i="1"/>
  <c r="M619" i="1"/>
  <c r="N619" i="1" s="1" a="1"/>
  <c r="N619" i="1" s="1"/>
  <c r="O619" i="1"/>
  <c r="M620" i="1"/>
  <c r="N620" i="1" s="1" a="1"/>
  <c r="N620" i="1" s="1"/>
  <c r="O620" i="1"/>
  <c r="M621" i="1"/>
  <c r="N621" i="1" s="1" a="1"/>
  <c r="N621" i="1" s="1"/>
  <c r="O621" i="1"/>
  <c r="M622" i="1"/>
  <c r="N622" i="1" s="1" a="1"/>
  <c r="N622" i="1" s="1"/>
  <c r="O622" i="1"/>
  <c r="M623" i="1"/>
  <c r="N623" i="1" s="1" a="1"/>
  <c r="N623" i="1" s="1"/>
  <c r="O623" i="1"/>
  <c r="M624" i="1"/>
  <c r="N624" i="1" s="1" a="1"/>
  <c r="N624" i="1" s="1"/>
  <c r="O624" i="1"/>
  <c r="M625" i="1"/>
  <c r="N625" i="1" s="1" a="1"/>
  <c r="N625" i="1" s="1"/>
  <c r="O625" i="1"/>
  <c r="M626" i="1"/>
  <c r="N626" i="1" s="1" a="1"/>
  <c r="N626" i="1" s="1"/>
  <c r="O626" i="1"/>
  <c r="M627" i="1"/>
  <c r="N627" i="1" s="1" a="1"/>
  <c r="N627" i="1" s="1"/>
  <c r="O627" i="1"/>
  <c r="M628" i="1"/>
  <c r="N628" i="1" s="1" a="1"/>
  <c r="N628" i="1" s="1"/>
  <c r="O628" i="1"/>
  <c r="M629" i="1"/>
  <c r="N629" i="1" s="1" a="1"/>
  <c r="N629" i="1" s="1"/>
  <c r="O629" i="1"/>
  <c r="M630" i="1"/>
  <c r="N630" i="1" s="1" a="1"/>
  <c r="N630" i="1" s="1"/>
  <c r="O630" i="1"/>
  <c r="M631" i="1"/>
  <c r="N631" i="1" s="1" a="1"/>
  <c r="N631" i="1" s="1"/>
  <c r="O631" i="1"/>
  <c r="M632" i="1"/>
  <c r="N632" i="1" s="1" a="1"/>
  <c r="N632" i="1" s="1"/>
  <c r="O632" i="1"/>
  <c r="M633" i="1"/>
  <c r="N633" i="1" s="1" a="1"/>
  <c r="N633" i="1" s="1"/>
  <c r="O633" i="1"/>
  <c r="M634" i="1"/>
  <c r="N634" i="1" s="1" a="1"/>
  <c r="N634" i="1" s="1"/>
  <c r="O634" i="1"/>
  <c r="M635" i="1"/>
  <c r="N635" i="1" s="1" a="1"/>
  <c r="N635" i="1" s="1"/>
  <c r="O635" i="1"/>
  <c r="M636" i="1"/>
  <c r="N636" i="1" s="1" a="1"/>
  <c r="N636" i="1" s="1"/>
  <c r="O636" i="1"/>
  <c r="M637" i="1"/>
  <c r="N637" i="1" s="1" a="1"/>
  <c r="N637" i="1" s="1"/>
  <c r="O637" i="1"/>
  <c r="M638" i="1"/>
  <c r="N638" i="1" s="1" a="1"/>
  <c r="N638" i="1" s="1"/>
  <c r="O638" i="1"/>
  <c r="M639" i="1"/>
  <c r="N639" i="1" s="1" a="1"/>
  <c r="N639" i="1" s="1"/>
  <c r="O639" i="1"/>
  <c r="M640" i="1"/>
  <c r="N640" i="1" s="1" a="1"/>
  <c r="N640" i="1" s="1"/>
  <c r="O640" i="1"/>
  <c r="M641" i="1"/>
  <c r="N641" i="1" s="1" a="1"/>
  <c r="N641" i="1" s="1"/>
  <c r="O641" i="1"/>
  <c r="M642" i="1"/>
  <c r="N642" i="1" s="1" a="1"/>
  <c r="N642" i="1" s="1"/>
  <c r="O642" i="1"/>
  <c r="M643" i="1"/>
  <c r="N643" i="1" s="1" a="1"/>
  <c r="N643" i="1" s="1"/>
  <c r="O643" i="1"/>
  <c r="M644" i="1"/>
  <c r="N644" i="1" s="1" a="1"/>
  <c r="N644" i="1" s="1"/>
  <c r="O644" i="1"/>
  <c r="M645" i="1"/>
  <c r="N645" i="1" s="1" a="1"/>
  <c r="N645" i="1" s="1"/>
  <c r="O645" i="1"/>
  <c r="M646" i="1"/>
  <c r="N646" i="1" s="1" a="1"/>
  <c r="N646" i="1" s="1"/>
  <c r="O646" i="1"/>
  <c r="M647" i="1"/>
  <c r="N647" i="1" s="1" a="1"/>
  <c r="N647" i="1" s="1"/>
  <c r="O647" i="1"/>
  <c r="M648" i="1"/>
  <c r="N648" i="1" s="1" a="1"/>
  <c r="N648" i="1" s="1"/>
  <c r="O648" i="1"/>
  <c r="M649" i="1"/>
  <c r="N649" i="1" s="1" a="1"/>
  <c r="N649" i="1" s="1"/>
  <c r="O649" i="1"/>
  <c r="M650" i="1"/>
  <c r="N650" i="1" s="1" a="1"/>
  <c r="N650" i="1" s="1"/>
  <c r="O650" i="1"/>
  <c r="M651" i="1"/>
  <c r="N651" i="1" s="1" a="1"/>
  <c r="N651" i="1" s="1"/>
  <c r="O651" i="1"/>
  <c r="M652" i="1"/>
  <c r="N652" i="1" s="1" a="1"/>
  <c r="N652" i="1" s="1"/>
  <c r="O652" i="1"/>
  <c r="M653" i="1"/>
  <c r="N653" i="1" s="1" a="1"/>
  <c r="N653" i="1" s="1"/>
  <c r="O653" i="1"/>
  <c r="M654" i="1"/>
  <c r="N654" i="1" s="1" a="1"/>
  <c r="N654" i="1" s="1"/>
  <c r="O654" i="1"/>
  <c r="M655" i="1"/>
  <c r="N655" i="1" s="1" a="1"/>
  <c r="N655" i="1" s="1"/>
  <c r="O655" i="1"/>
  <c r="M656" i="1"/>
  <c r="N656" i="1" s="1" a="1"/>
  <c r="N656" i="1" s="1"/>
  <c r="O656" i="1"/>
  <c r="M657" i="1"/>
  <c r="N657" i="1" s="1" a="1"/>
  <c r="N657" i="1" s="1"/>
  <c r="O657" i="1"/>
  <c r="M658" i="1"/>
  <c r="N658" i="1" s="1" a="1"/>
  <c r="N658" i="1" s="1"/>
  <c r="O658" i="1"/>
  <c r="M659" i="1"/>
  <c r="N659" i="1" s="1" a="1"/>
  <c r="N659" i="1" s="1"/>
  <c r="O659" i="1"/>
  <c r="M660" i="1"/>
  <c r="N660" i="1" s="1" a="1"/>
  <c r="N660" i="1" s="1"/>
  <c r="O660" i="1"/>
  <c r="M661" i="1"/>
  <c r="N661" i="1" s="1" a="1"/>
  <c r="N661" i="1" s="1"/>
  <c r="O661" i="1"/>
  <c r="M662" i="1"/>
  <c r="N662" i="1" s="1" a="1"/>
  <c r="N662" i="1" s="1"/>
  <c r="O662" i="1"/>
  <c r="M663" i="1"/>
  <c r="N663" i="1" s="1" a="1"/>
  <c r="N663" i="1" s="1"/>
  <c r="O663" i="1"/>
  <c r="M664" i="1"/>
  <c r="N664" i="1" s="1" a="1"/>
  <c r="N664" i="1" s="1"/>
  <c r="O664" i="1"/>
  <c r="M665" i="1"/>
  <c r="N665" i="1" s="1" a="1"/>
  <c r="N665" i="1" s="1"/>
  <c r="O665" i="1"/>
  <c r="M666" i="1"/>
  <c r="N666" i="1" s="1" a="1"/>
  <c r="N666" i="1" s="1"/>
  <c r="O666" i="1"/>
  <c r="M667" i="1"/>
  <c r="N667" i="1" s="1" a="1"/>
  <c r="N667" i="1" s="1"/>
  <c r="O667" i="1"/>
  <c r="M668" i="1"/>
  <c r="N668" i="1" s="1" a="1"/>
  <c r="N668" i="1" s="1"/>
  <c r="O668" i="1"/>
  <c r="M669" i="1"/>
  <c r="N669" i="1" s="1" a="1"/>
  <c r="N669" i="1" s="1"/>
  <c r="O669" i="1"/>
  <c r="M670" i="1"/>
  <c r="N670" i="1" s="1" a="1"/>
  <c r="N670" i="1" s="1"/>
  <c r="O670" i="1"/>
  <c r="M671" i="1"/>
  <c r="N671" i="1" s="1" a="1"/>
  <c r="N671" i="1" s="1"/>
  <c r="O671" i="1"/>
  <c r="M672" i="1"/>
  <c r="N672" i="1" s="1" a="1"/>
  <c r="N672" i="1" s="1"/>
  <c r="O672" i="1"/>
  <c r="M673" i="1"/>
  <c r="N673" i="1" s="1" a="1"/>
  <c r="N673" i="1" s="1"/>
  <c r="O673" i="1"/>
  <c r="M674" i="1"/>
  <c r="N674" i="1" s="1" a="1"/>
  <c r="N674" i="1" s="1"/>
  <c r="O674" i="1"/>
  <c r="M675" i="1"/>
  <c r="N675" i="1" s="1" a="1"/>
  <c r="N675" i="1" s="1"/>
  <c r="O675" i="1"/>
  <c r="M676" i="1"/>
  <c r="N676" i="1" s="1" a="1"/>
  <c r="N676" i="1" s="1"/>
  <c r="O676" i="1"/>
  <c r="M677" i="1"/>
  <c r="N677" i="1" s="1" a="1"/>
  <c r="N677" i="1" s="1"/>
  <c r="O677" i="1"/>
  <c r="M678" i="1"/>
  <c r="N678" i="1" s="1" a="1"/>
  <c r="N678" i="1" s="1"/>
  <c r="O678" i="1"/>
  <c r="M679" i="1"/>
  <c r="N679" i="1" s="1" a="1"/>
  <c r="N679" i="1" s="1"/>
  <c r="O679" i="1"/>
  <c r="M680" i="1"/>
  <c r="N680" i="1" s="1" a="1"/>
  <c r="N680" i="1" s="1"/>
  <c r="O680" i="1"/>
  <c r="M681" i="1"/>
  <c r="N681" i="1" s="1" a="1"/>
  <c r="N681" i="1" s="1"/>
  <c r="O681" i="1"/>
  <c r="M682" i="1"/>
  <c r="N682" i="1" s="1" a="1"/>
  <c r="N682" i="1" s="1"/>
  <c r="O682" i="1"/>
  <c r="M683" i="1"/>
  <c r="N683" i="1" s="1" a="1"/>
  <c r="N683" i="1" s="1"/>
  <c r="O683" i="1"/>
  <c r="M684" i="1"/>
  <c r="N684" i="1" s="1" a="1"/>
  <c r="N684" i="1" s="1"/>
  <c r="O684" i="1"/>
  <c r="M685" i="1"/>
  <c r="N685" i="1" s="1" a="1"/>
  <c r="N685" i="1" s="1"/>
  <c r="O685" i="1"/>
  <c r="M686" i="1"/>
  <c r="N686" i="1" s="1" a="1"/>
  <c r="N686" i="1" s="1"/>
  <c r="O686" i="1"/>
  <c r="M687" i="1"/>
  <c r="N687" i="1" s="1" a="1"/>
  <c r="N687" i="1" s="1"/>
  <c r="O687" i="1"/>
  <c r="M688" i="1"/>
  <c r="N688" i="1" s="1" a="1"/>
  <c r="N688" i="1" s="1"/>
  <c r="O688" i="1"/>
  <c r="M689" i="1"/>
  <c r="N689" i="1" s="1" a="1"/>
  <c r="N689" i="1" s="1"/>
  <c r="O689" i="1"/>
  <c r="M690" i="1"/>
  <c r="N690" i="1" s="1" a="1"/>
  <c r="N690" i="1" s="1"/>
  <c r="O690" i="1"/>
  <c r="M691" i="1"/>
  <c r="N691" i="1" s="1" a="1"/>
  <c r="N691" i="1" s="1"/>
  <c r="O691" i="1"/>
  <c r="M692" i="1"/>
  <c r="N692" i="1" s="1" a="1"/>
  <c r="N692" i="1" s="1"/>
  <c r="O692" i="1"/>
  <c r="M693" i="1"/>
  <c r="N693" i="1" s="1" a="1"/>
  <c r="N693" i="1" s="1"/>
  <c r="O693" i="1"/>
  <c r="M694" i="1"/>
  <c r="N694" i="1" s="1" a="1"/>
  <c r="N694" i="1" s="1"/>
  <c r="O694" i="1"/>
  <c r="M695" i="1"/>
  <c r="N695" i="1" s="1" a="1"/>
  <c r="N695" i="1" s="1"/>
  <c r="O695" i="1"/>
  <c r="M696" i="1"/>
  <c r="N696" i="1" s="1" a="1"/>
  <c r="N696" i="1" s="1"/>
  <c r="O696" i="1"/>
  <c r="M697" i="1"/>
  <c r="N697" i="1" s="1" a="1"/>
  <c r="N697" i="1" s="1"/>
  <c r="O697" i="1"/>
  <c r="M698" i="1"/>
  <c r="N698" i="1" s="1" a="1"/>
  <c r="N698" i="1" s="1"/>
  <c r="O698" i="1"/>
  <c r="M699" i="1"/>
  <c r="N699" i="1" s="1" a="1"/>
  <c r="N699" i="1" s="1"/>
  <c r="O699" i="1"/>
  <c r="M700" i="1"/>
  <c r="N700" i="1" s="1" a="1"/>
  <c r="N700" i="1" s="1"/>
  <c r="O700" i="1"/>
  <c r="M701" i="1"/>
  <c r="N701" i="1" s="1" a="1"/>
  <c r="N701" i="1" s="1"/>
  <c r="O701" i="1"/>
  <c r="M702" i="1"/>
  <c r="N702" i="1" s="1" a="1"/>
  <c r="N702" i="1" s="1"/>
  <c r="O702" i="1"/>
  <c r="M703" i="1"/>
  <c r="N703" i="1" s="1" a="1"/>
  <c r="N703" i="1" s="1"/>
  <c r="O703" i="1"/>
  <c r="M704" i="1"/>
  <c r="N704" i="1" s="1" a="1"/>
  <c r="N704" i="1" s="1"/>
  <c r="O704" i="1"/>
  <c r="M705" i="1"/>
  <c r="N705" i="1" s="1" a="1"/>
  <c r="N705" i="1" s="1"/>
  <c r="O705" i="1"/>
  <c r="M706" i="1"/>
  <c r="N706" i="1" s="1" a="1"/>
  <c r="N706" i="1" s="1"/>
  <c r="O706" i="1"/>
  <c r="M707" i="1"/>
  <c r="N707" i="1" s="1" a="1"/>
  <c r="N707" i="1" s="1"/>
  <c r="O707" i="1"/>
  <c r="M708" i="1"/>
  <c r="N708" i="1" s="1" a="1"/>
  <c r="N708" i="1" s="1"/>
  <c r="O708" i="1"/>
  <c r="M709" i="1"/>
  <c r="N709" i="1" s="1" a="1"/>
  <c r="N709" i="1" s="1"/>
  <c r="O709" i="1"/>
  <c r="M710" i="1"/>
  <c r="N710" i="1" s="1" a="1"/>
  <c r="N710" i="1" s="1"/>
  <c r="O710" i="1"/>
  <c r="M711" i="1"/>
  <c r="N711" i="1" s="1" a="1"/>
  <c r="N711" i="1" s="1"/>
  <c r="O711" i="1"/>
  <c r="M712" i="1"/>
  <c r="N712" i="1" s="1" a="1"/>
  <c r="N712" i="1" s="1"/>
  <c r="O712" i="1"/>
  <c r="M713" i="1"/>
  <c r="N713" i="1" s="1" a="1"/>
  <c r="N713" i="1" s="1"/>
  <c r="O713" i="1"/>
  <c r="M714" i="1"/>
  <c r="N714" i="1" s="1" a="1"/>
  <c r="N714" i="1" s="1"/>
  <c r="O714" i="1"/>
  <c r="M715" i="1"/>
  <c r="N715" i="1" s="1" a="1"/>
  <c r="N715" i="1" s="1"/>
  <c r="O715" i="1"/>
  <c r="M716" i="1"/>
  <c r="N716" i="1" s="1" a="1"/>
  <c r="N716" i="1" s="1"/>
  <c r="O716" i="1"/>
  <c r="M717" i="1"/>
  <c r="N717" i="1" s="1" a="1"/>
  <c r="N717" i="1" s="1"/>
  <c r="O717" i="1"/>
  <c r="M718" i="1"/>
  <c r="N718" i="1" s="1" a="1"/>
  <c r="N718" i="1" s="1"/>
  <c r="O718" i="1"/>
  <c r="M719" i="1"/>
  <c r="N719" i="1" s="1" a="1"/>
  <c r="N719" i="1" s="1"/>
  <c r="O719" i="1"/>
  <c r="M720" i="1"/>
  <c r="N720" i="1" s="1" a="1"/>
  <c r="N720" i="1" s="1"/>
  <c r="O720" i="1"/>
  <c r="M721" i="1"/>
  <c r="N721" i="1" s="1" a="1"/>
  <c r="N721" i="1" s="1"/>
  <c r="O721" i="1"/>
  <c r="M722" i="1"/>
  <c r="N722" i="1" s="1" a="1"/>
  <c r="N722" i="1" s="1"/>
  <c r="O722" i="1"/>
  <c r="M723" i="1"/>
  <c r="N723" i="1" s="1" a="1"/>
  <c r="N723" i="1" s="1"/>
  <c r="O723" i="1"/>
  <c r="M724" i="1"/>
  <c r="N724" i="1" s="1" a="1"/>
  <c r="N724" i="1" s="1"/>
  <c r="O724" i="1"/>
  <c r="M725" i="1"/>
  <c r="N725" i="1" s="1" a="1"/>
  <c r="N725" i="1" s="1"/>
  <c r="O725" i="1"/>
  <c r="M726" i="1"/>
  <c r="N726" i="1" s="1" a="1"/>
  <c r="N726" i="1" s="1"/>
  <c r="O726" i="1"/>
  <c r="M727" i="1"/>
  <c r="N727" i="1" s="1" a="1"/>
  <c r="N727" i="1" s="1"/>
  <c r="O727" i="1"/>
  <c r="M728" i="1"/>
  <c r="N728" i="1" s="1" a="1"/>
  <c r="N728" i="1" s="1"/>
  <c r="O728" i="1"/>
  <c r="M729" i="1"/>
  <c r="N729" i="1" s="1" a="1"/>
  <c r="N729" i="1" s="1"/>
  <c r="O729" i="1"/>
  <c r="M730" i="1"/>
  <c r="N730" i="1" s="1" a="1"/>
  <c r="N730" i="1" s="1"/>
  <c r="O730" i="1"/>
  <c r="M731" i="1"/>
  <c r="N731" i="1" s="1" a="1"/>
  <c r="N731" i="1" s="1"/>
  <c r="O731" i="1"/>
  <c r="M732" i="1"/>
  <c r="N732" i="1" s="1" a="1"/>
  <c r="N732" i="1" s="1"/>
  <c r="O732" i="1"/>
  <c r="M733" i="1"/>
  <c r="N733" i="1" s="1" a="1"/>
  <c r="N733" i="1" s="1"/>
  <c r="O733" i="1"/>
  <c r="M734" i="1"/>
  <c r="N734" i="1" s="1" a="1"/>
  <c r="N734" i="1" s="1"/>
  <c r="O734" i="1"/>
  <c r="M735" i="1"/>
  <c r="N735" i="1" s="1" a="1"/>
  <c r="N735" i="1" s="1"/>
  <c r="O735" i="1"/>
  <c r="M736" i="1"/>
  <c r="N736" i="1" s="1" a="1"/>
  <c r="N736" i="1" s="1"/>
  <c r="O736" i="1"/>
  <c r="M737" i="1"/>
  <c r="N737" i="1" s="1" a="1"/>
  <c r="N737" i="1" s="1"/>
  <c r="O737" i="1"/>
  <c r="M738" i="1"/>
  <c r="N738" i="1" s="1" a="1"/>
  <c r="N738" i="1" s="1"/>
  <c r="O738" i="1"/>
  <c r="M739" i="1"/>
  <c r="N739" i="1" s="1" a="1"/>
  <c r="N739" i="1" s="1"/>
  <c r="O739" i="1"/>
  <c r="M740" i="1"/>
  <c r="N740" i="1" s="1" a="1"/>
  <c r="N740" i="1" s="1"/>
  <c r="O740" i="1"/>
  <c r="M741" i="1"/>
  <c r="N741" i="1" s="1" a="1"/>
  <c r="N741" i="1" s="1"/>
  <c r="O741" i="1"/>
  <c r="M742" i="1"/>
  <c r="N742" i="1" s="1" a="1"/>
  <c r="N742" i="1" s="1"/>
  <c r="O742" i="1"/>
  <c r="M743" i="1"/>
  <c r="N743" i="1" s="1" a="1"/>
  <c r="N743" i="1" s="1"/>
  <c r="O743" i="1"/>
  <c r="M744" i="1"/>
  <c r="N744" i="1" s="1" a="1"/>
  <c r="N744" i="1" s="1"/>
  <c r="O744" i="1"/>
  <c r="M745" i="1"/>
  <c r="N745" i="1" s="1" a="1"/>
  <c r="N745" i="1" s="1"/>
  <c r="O745" i="1"/>
  <c r="M746" i="1"/>
  <c r="N746" i="1" s="1" a="1"/>
  <c r="N746" i="1" s="1"/>
  <c r="O746" i="1"/>
  <c r="M747" i="1"/>
  <c r="N747" i="1" s="1" a="1"/>
  <c r="N747" i="1" s="1"/>
  <c r="O747" i="1"/>
  <c r="M748" i="1"/>
  <c r="N748" i="1" s="1" a="1"/>
  <c r="N748" i="1" s="1"/>
  <c r="O748" i="1"/>
  <c r="M749" i="1"/>
  <c r="N749" i="1" s="1" a="1"/>
  <c r="N749" i="1" s="1"/>
  <c r="O749" i="1"/>
  <c r="M750" i="1"/>
  <c r="N750" i="1" s="1" a="1"/>
  <c r="N750" i="1" s="1"/>
  <c r="O750" i="1"/>
  <c r="M751" i="1"/>
  <c r="N751" i="1" s="1" a="1"/>
  <c r="N751" i="1" s="1"/>
  <c r="O751" i="1"/>
  <c r="M752" i="1"/>
  <c r="N752" i="1" s="1" a="1"/>
  <c r="N752" i="1" s="1"/>
  <c r="O752" i="1"/>
  <c r="M753" i="1"/>
  <c r="N753" i="1" s="1" a="1"/>
  <c r="N753" i="1" s="1"/>
  <c r="O753" i="1"/>
  <c r="M754" i="1"/>
  <c r="N754" i="1" s="1" a="1"/>
  <c r="N754" i="1" s="1"/>
  <c r="O754" i="1"/>
  <c r="M755" i="1"/>
  <c r="N755" i="1" s="1" a="1"/>
  <c r="N755" i="1" s="1"/>
  <c r="O755" i="1"/>
  <c r="M756" i="1"/>
  <c r="N756" i="1" s="1" a="1"/>
  <c r="N756" i="1" s="1"/>
  <c r="O756" i="1"/>
  <c r="M757" i="1"/>
  <c r="N757" i="1" s="1" a="1"/>
  <c r="N757" i="1" s="1"/>
  <c r="O757" i="1"/>
  <c r="M758" i="1"/>
  <c r="N758" i="1" s="1" a="1"/>
  <c r="N758" i="1" s="1"/>
  <c r="O758" i="1"/>
  <c r="M759" i="1"/>
  <c r="N759" i="1" s="1" a="1"/>
  <c r="N759" i="1" s="1"/>
  <c r="O759" i="1"/>
  <c r="M760" i="1"/>
  <c r="N760" i="1" s="1" a="1"/>
  <c r="N760" i="1" s="1"/>
  <c r="O760" i="1"/>
  <c r="M761" i="1"/>
  <c r="N761" i="1" s="1" a="1"/>
  <c r="N761" i="1" s="1"/>
  <c r="O761" i="1"/>
  <c r="M762" i="1"/>
  <c r="N762" i="1" s="1" a="1"/>
  <c r="N762" i="1" s="1"/>
  <c r="O762" i="1"/>
  <c r="M763" i="1"/>
  <c r="N763" i="1" s="1" a="1"/>
  <c r="N763" i="1" s="1"/>
  <c r="O763" i="1"/>
  <c r="M764" i="1"/>
  <c r="N764" i="1" s="1" a="1"/>
  <c r="N764" i="1" s="1"/>
  <c r="O764" i="1"/>
  <c r="M765" i="1"/>
  <c r="N765" i="1" s="1" a="1"/>
  <c r="N765" i="1" s="1"/>
  <c r="O765" i="1"/>
  <c r="M766" i="1"/>
  <c r="N766" i="1" s="1" a="1"/>
  <c r="N766" i="1" s="1"/>
  <c r="O766" i="1"/>
  <c r="M767" i="1"/>
  <c r="N767" i="1" s="1" a="1"/>
  <c r="N767" i="1" s="1"/>
  <c r="O767" i="1"/>
  <c r="M768" i="1"/>
  <c r="N768" i="1" s="1" a="1"/>
  <c r="N768" i="1" s="1"/>
  <c r="O768" i="1"/>
  <c r="M769" i="1"/>
  <c r="N769" i="1" s="1" a="1"/>
  <c r="N769" i="1" s="1"/>
  <c r="O769" i="1"/>
  <c r="M770" i="1"/>
  <c r="N770" i="1" s="1" a="1"/>
  <c r="N770" i="1" s="1"/>
  <c r="O770" i="1"/>
  <c r="M771" i="1"/>
  <c r="N771" i="1" s="1" a="1"/>
  <c r="N771" i="1" s="1"/>
  <c r="O771" i="1"/>
  <c r="M772" i="1"/>
  <c r="N772" i="1" s="1" a="1"/>
  <c r="N772" i="1" s="1"/>
  <c r="O772" i="1"/>
  <c r="M773" i="1"/>
  <c r="N773" i="1" s="1" a="1"/>
  <c r="N773" i="1" s="1"/>
  <c r="O773" i="1"/>
  <c r="M774" i="1"/>
  <c r="N774" i="1" s="1" a="1"/>
  <c r="N774" i="1" s="1"/>
  <c r="O774" i="1"/>
  <c r="M775" i="1"/>
  <c r="N775" i="1" s="1" a="1"/>
  <c r="N775" i="1" s="1"/>
  <c r="O775" i="1"/>
  <c r="M776" i="1"/>
  <c r="N776" i="1" s="1" a="1"/>
  <c r="N776" i="1" s="1"/>
  <c r="O776" i="1"/>
  <c r="M777" i="1"/>
  <c r="N777" i="1" s="1" a="1"/>
  <c r="N777" i="1" s="1"/>
  <c r="O777" i="1"/>
  <c r="M778" i="1"/>
  <c r="N778" i="1" s="1" a="1"/>
  <c r="N778" i="1" s="1"/>
  <c r="O778" i="1"/>
  <c r="M779" i="1"/>
  <c r="N779" i="1" s="1" a="1"/>
  <c r="N779" i="1" s="1"/>
  <c r="O779" i="1"/>
  <c r="M780" i="1"/>
  <c r="N780" i="1" s="1" a="1"/>
  <c r="N780" i="1" s="1"/>
  <c r="O780" i="1"/>
  <c r="M781" i="1"/>
  <c r="N781" i="1" s="1" a="1"/>
  <c r="N781" i="1" s="1"/>
  <c r="O781" i="1"/>
  <c r="M782" i="1"/>
  <c r="N782" i="1" s="1" a="1"/>
  <c r="N782" i="1" s="1"/>
  <c r="O782" i="1"/>
  <c r="M783" i="1"/>
  <c r="N783" i="1" s="1" a="1"/>
  <c r="N783" i="1" s="1"/>
  <c r="O783" i="1"/>
  <c r="M784" i="1"/>
  <c r="N784" i="1" s="1" a="1"/>
  <c r="N784" i="1" s="1"/>
  <c r="O784" i="1"/>
  <c r="M785" i="1"/>
  <c r="N785" i="1" s="1" a="1"/>
  <c r="N785" i="1" s="1"/>
  <c r="O785" i="1"/>
  <c r="M786" i="1"/>
  <c r="N786" i="1" s="1" a="1"/>
  <c r="N786" i="1" s="1"/>
  <c r="O786" i="1"/>
  <c r="M787" i="1"/>
  <c r="N787" i="1" s="1" a="1"/>
  <c r="N787" i="1" s="1"/>
  <c r="O787" i="1"/>
  <c r="M788" i="1"/>
  <c r="N788" i="1" s="1" a="1"/>
  <c r="N788" i="1" s="1"/>
  <c r="O788" i="1"/>
  <c r="M789" i="1"/>
  <c r="N789" i="1" s="1" a="1"/>
  <c r="N789" i="1" s="1"/>
  <c r="O789" i="1"/>
  <c r="M790" i="1"/>
  <c r="N790" i="1" s="1" a="1"/>
  <c r="N790" i="1" s="1"/>
  <c r="O790" i="1"/>
  <c r="M791" i="1"/>
  <c r="N791" i="1" s="1" a="1"/>
  <c r="N791" i="1" s="1"/>
  <c r="O791" i="1"/>
  <c r="M792" i="1"/>
  <c r="N792" i="1" s="1" a="1"/>
  <c r="N792" i="1" s="1"/>
  <c r="O792" i="1"/>
  <c r="M793" i="1"/>
  <c r="N793" i="1" s="1" a="1"/>
  <c r="N793" i="1" s="1"/>
  <c r="O793" i="1"/>
  <c r="M794" i="1"/>
  <c r="N794" i="1" s="1" a="1"/>
  <c r="N794" i="1" s="1"/>
  <c r="O794" i="1"/>
  <c r="M795" i="1"/>
  <c r="N795" i="1" s="1" a="1"/>
  <c r="N795" i="1" s="1"/>
  <c r="O795" i="1"/>
  <c r="M796" i="1"/>
  <c r="N796" i="1" s="1" a="1"/>
  <c r="N796" i="1" s="1"/>
  <c r="O796" i="1"/>
  <c r="M797" i="1"/>
  <c r="N797" i="1" s="1" a="1"/>
  <c r="N797" i="1" s="1"/>
  <c r="O797" i="1"/>
  <c r="M798" i="1"/>
  <c r="N798" i="1" s="1" a="1"/>
  <c r="N798" i="1" s="1"/>
  <c r="O798" i="1"/>
  <c r="M799" i="1"/>
  <c r="N799" i="1" s="1" a="1"/>
  <c r="N799" i="1" s="1"/>
  <c r="O799" i="1"/>
  <c r="M800" i="1"/>
  <c r="N800" i="1" s="1" a="1"/>
  <c r="N800" i="1" s="1"/>
  <c r="O800" i="1"/>
  <c r="M801" i="1"/>
  <c r="N801" i="1" s="1" a="1"/>
  <c r="N801" i="1" s="1"/>
  <c r="O801" i="1"/>
  <c r="M802" i="1"/>
  <c r="N802" i="1" s="1" a="1"/>
  <c r="N802" i="1" s="1"/>
  <c r="O802" i="1"/>
  <c r="M803" i="1"/>
  <c r="N803" i="1" s="1" a="1"/>
  <c r="N803" i="1" s="1"/>
  <c r="O803" i="1"/>
  <c r="M804" i="1"/>
  <c r="N804" i="1" s="1" a="1"/>
  <c r="N804" i="1" s="1"/>
  <c r="O804" i="1"/>
  <c r="M805" i="1"/>
  <c r="N805" i="1" s="1" a="1"/>
  <c r="N805" i="1" s="1"/>
  <c r="O805" i="1"/>
  <c r="M806" i="1"/>
  <c r="N806" i="1" s="1" a="1"/>
  <c r="N806" i="1" s="1"/>
  <c r="O806" i="1"/>
  <c r="M807" i="1"/>
  <c r="N807" i="1" s="1" a="1"/>
  <c r="N807" i="1" s="1"/>
  <c r="O807" i="1"/>
  <c r="M808" i="1"/>
  <c r="N808" i="1" s="1" a="1"/>
  <c r="N808" i="1" s="1"/>
  <c r="O808" i="1"/>
  <c r="M809" i="1"/>
  <c r="N809" i="1" s="1" a="1"/>
  <c r="N809" i="1" s="1"/>
  <c r="O809" i="1"/>
  <c r="M810" i="1"/>
  <c r="N810" i="1" s="1" a="1"/>
  <c r="N810" i="1" s="1"/>
  <c r="O810" i="1"/>
  <c r="M811" i="1"/>
  <c r="N811" i="1" s="1" a="1"/>
  <c r="N811" i="1" s="1"/>
  <c r="O811" i="1"/>
  <c r="M812" i="1"/>
  <c r="N812" i="1" s="1" a="1"/>
  <c r="N812" i="1" s="1"/>
  <c r="O812" i="1"/>
  <c r="M813" i="1"/>
  <c r="N813" i="1" s="1" a="1"/>
  <c r="N813" i="1" s="1"/>
  <c r="O813" i="1"/>
  <c r="M814" i="1"/>
  <c r="N814" i="1" s="1" a="1"/>
  <c r="N814" i="1" s="1"/>
  <c r="O814" i="1"/>
  <c r="M815" i="1"/>
  <c r="N815" i="1" s="1" a="1"/>
  <c r="N815" i="1" s="1"/>
  <c r="O815" i="1"/>
  <c r="M816" i="1"/>
  <c r="N816" i="1" s="1" a="1"/>
  <c r="N816" i="1" s="1"/>
  <c r="O816" i="1"/>
  <c r="M817" i="1"/>
  <c r="N817" i="1" s="1" a="1"/>
  <c r="N817" i="1" s="1"/>
  <c r="O817" i="1"/>
  <c r="M818" i="1"/>
  <c r="N818" i="1" s="1" a="1"/>
  <c r="N818" i="1" s="1"/>
  <c r="O818" i="1"/>
  <c r="M819" i="1"/>
  <c r="N819" i="1" s="1" a="1"/>
  <c r="N819" i="1" s="1"/>
  <c r="O819" i="1"/>
  <c r="M820" i="1"/>
  <c r="N820" i="1" s="1" a="1"/>
  <c r="N820" i="1" s="1"/>
  <c r="O820" i="1"/>
  <c r="M821" i="1"/>
  <c r="N821" i="1" s="1" a="1"/>
  <c r="N821" i="1" s="1"/>
  <c r="O821" i="1"/>
  <c r="M822" i="1"/>
  <c r="N822" i="1" s="1" a="1"/>
  <c r="N822" i="1" s="1"/>
  <c r="O822" i="1"/>
  <c r="M823" i="1"/>
  <c r="N823" i="1" s="1" a="1"/>
  <c r="N823" i="1" s="1"/>
  <c r="O823" i="1"/>
  <c r="M824" i="1"/>
  <c r="N824" i="1" s="1" a="1"/>
  <c r="N824" i="1" s="1"/>
  <c r="O824" i="1"/>
  <c r="M825" i="1"/>
  <c r="N825" i="1" s="1" a="1"/>
  <c r="N825" i="1" s="1"/>
  <c r="O825" i="1"/>
  <c r="M826" i="1"/>
  <c r="N826" i="1" s="1" a="1"/>
  <c r="N826" i="1" s="1"/>
  <c r="O826" i="1"/>
  <c r="M827" i="1"/>
  <c r="N827" i="1" s="1" a="1"/>
  <c r="N827" i="1" s="1"/>
  <c r="O827" i="1"/>
  <c r="M828" i="1"/>
  <c r="N828" i="1" s="1" a="1"/>
  <c r="N828" i="1" s="1"/>
  <c r="O828" i="1"/>
  <c r="M829" i="1"/>
  <c r="N829" i="1" s="1" a="1"/>
  <c r="N829" i="1" s="1"/>
  <c r="O829" i="1"/>
  <c r="M830" i="1"/>
  <c r="N830" i="1" s="1" a="1"/>
  <c r="N830" i="1" s="1"/>
  <c r="O830" i="1"/>
  <c r="M831" i="1"/>
  <c r="N831" i="1" s="1" a="1"/>
  <c r="N831" i="1" s="1"/>
  <c r="O831" i="1"/>
  <c r="M832" i="1"/>
  <c r="N832" i="1" s="1" a="1"/>
  <c r="N832" i="1" s="1"/>
  <c r="O832" i="1"/>
  <c r="M833" i="1"/>
  <c r="N833" i="1" s="1" a="1"/>
  <c r="N833" i="1" s="1"/>
  <c r="O833" i="1"/>
  <c r="M834" i="1"/>
  <c r="N834" i="1" s="1" a="1"/>
  <c r="N834" i="1" s="1"/>
  <c r="O834" i="1"/>
  <c r="M835" i="1"/>
  <c r="N835" i="1" s="1" a="1"/>
  <c r="N835" i="1" s="1"/>
  <c r="O835" i="1"/>
  <c r="M836" i="1"/>
  <c r="N836" i="1" s="1" a="1"/>
  <c r="N836" i="1" s="1"/>
  <c r="O836" i="1"/>
  <c r="M837" i="1"/>
  <c r="N837" i="1" s="1" a="1"/>
  <c r="N837" i="1" s="1"/>
  <c r="O837" i="1"/>
  <c r="M838" i="1"/>
  <c r="N838" i="1" s="1" a="1"/>
  <c r="N838" i="1" s="1"/>
  <c r="O838" i="1"/>
  <c r="M839" i="1"/>
  <c r="N839" i="1" s="1" a="1"/>
  <c r="N839" i="1" s="1"/>
  <c r="O839" i="1"/>
  <c r="M840" i="1"/>
  <c r="N840" i="1" s="1" a="1"/>
  <c r="N840" i="1" s="1"/>
  <c r="O840" i="1"/>
  <c r="M841" i="1"/>
  <c r="N841" i="1" s="1" a="1"/>
  <c r="N841" i="1" s="1"/>
  <c r="O841" i="1"/>
  <c r="M842" i="1"/>
  <c r="N842" i="1" s="1" a="1"/>
  <c r="N842" i="1" s="1"/>
  <c r="O842" i="1"/>
  <c r="M843" i="1"/>
  <c r="N843" i="1" s="1" a="1"/>
  <c r="N843" i="1" s="1"/>
  <c r="O843" i="1"/>
  <c r="M844" i="1"/>
  <c r="N844" i="1" s="1" a="1"/>
  <c r="N844" i="1" s="1"/>
  <c r="O844" i="1"/>
  <c r="M845" i="1"/>
  <c r="N845" i="1" s="1" a="1"/>
  <c r="N845" i="1" s="1"/>
  <c r="O845" i="1"/>
  <c r="M846" i="1"/>
  <c r="N846" i="1" s="1" a="1"/>
  <c r="N846" i="1" s="1"/>
  <c r="O846" i="1"/>
  <c r="M847" i="1"/>
  <c r="N847" i="1" s="1" a="1"/>
  <c r="N847" i="1" s="1"/>
  <c r="O847" i="1"/>
  <c r="M848" i="1"/>
  <c r="N848" i="1" s="1" a="1"/>
  <c r="N848" i="1" s="1"/>
  <c r="O848" i="1"/>
  <c r="M849" i="1"/>
  <c r="N849" i="1" s="1" a="1"/>
  <c r="N849" i="1" s="1"/>
  <c r="O849" i="1"/>
  <c r="M850" i="1"/>
  <c r="N850" i="1" s="1" a="1"/>
  <c r="N850" i="1" s="1"/>
  <c r="O850" i="1"/>
  <c r="M851" i="1"/>
  <c r="N851" i="1" s="1" a="1"/>
  <c r="N851" i="1" s="1"/>
  <c r="O851" i="1"/>
  <c r="M852" i="1"/>
  <c r="N852" i="1" s="1" a="1"/>
  <c r="N852" i="1" s="1"/>
  <c r="O852" i="1"/>
  <c r="M853" i="1"/>
  <c r="N853" i="1" s="1" a="1"/>
  <c r="N853" i="1" s="1"/>
  <c r="O853" i="1"/>
  <c r="M854" i="1"/>
  <c r="N854" i="1" s="1" a="1"/>
  <c r="N854" i="1" s="1"/>
  <c r="O854" i="1"/>
  <c r="M855" i="1"/>
  <c r="N855" i="1" s="1" a="1"/>
  <c r="N855" i="1" s="1"/>
  <c r="O855" i="1"/>
  <c r="M856" i="1"/>
  <c r="N856" i="1" s="1" a="1"/>
  <c r="N856" i="1" s="1"/>
  <c r="O856" i="1"/>
  <c r="M857" i="1"/>
  <c r="N857" i="1" s="1" a="1"/>
  <c r="N857" i="1" s="1"/>
  <c r="O857" i="1"/>
  <c r="M858" i="1"/>
  <c r="N858" i="1" s="1" a="1"/>
  <c r="N858" i="1" s="1"/>
  <c r="O858" i="1"/>
  <c r="M859" i="1"/>
  <c r="N859" i="1" s="1" a="1"/>
  <c r="N859" i="1" s="1"/>
  <c r="O859" i="1"/>
  <c r="M860" i="1"/>
  <c r="N860" i="1" s="1" a="1"/>
  <c r="N860" i="1" s="1"/>
  <c r="O860" i="1"/>
  <c r="M861" i="1"/>
  <c r="N861" i="1" s="1" a="1"/>
  <c r="N861" i="1" s="1"/>
  <c r="O861" i="1"/>
  <c r="M862" i="1"/>
  <c r="N862" i="1" s="1" a="1"/>
  <c r="N862" i="1" s="1"/>
  <c r="O862" i="1"/>
  <c r="M863" i="1"/>
  <c r="N863" i="1" s="1" a="1"/>
  <c r="N863" i="1" s="1"/>
  <c r="O863" i="1"/>
  <c r="M864" i="1"/>
  <c r="N864" i="1" s="1" a="1"/>
  <c r="N864" i="1" s="1"/>
  <c r="O864" i="1"/>
  <c r="M865" i="1"/>
  <c r="N865" i="1" s="1" a="1"/>
  <c r="N865" i="1" s="1"/>
  <c r="O865" i="1"/>
  <c r="M866" i="1"/>
  <c r="N866" i="1" s="1" a="1"/>
  <c r="N866" i="1" s="1"/>
  <c r="O866" i="1"/>
  <c r="M867" i="1"/>
  <c r="N867" i="1" s="1" a="1"/>
  <c r="N867" i="1" s="1"/>
  <c r="O867" i="1"/>
  <c r="M868" i="1"/>
  <c r="N868" i="1" s="1" a="1"/>
  <c r="N868" i="1" s="1"/>
  <c r="O868" i="1"/>
  <c r="M869" i="1"/>
  <c r="N869" i="1" s="1" a="1"/>
  <c r="N869" i="1" s="1"/>
  <c r="O869" i="1"/>
  <c r="M870" i="1"/>
  <c r="N870" i="1" s="1" a="1"/>
  <c r="N870" i="1" s="1"/>
  <c r="O870" i="1"/>
  <c r="M871" i="1"/>
  <c r="N871" i="1" s="1" a="1"/>
  <c r="N871" i="1" s="1"/>
  <c r="O871" i="1"/>
  <c r="M872" i="1"/>
  <c r="N872" i="1" s="1" a="1"/>
  <c r="N872" i="1" s="1"/>
  <c r="O872" i="1"/>
  <c r="M873" i="1"/>
  <c r="N873" i="1" s="1" a="1"/>
  <c r="N873" i="1" s="1"/>
  <c r="O873" i="1"/>
  <c r="M874" i="1"/>
  <c r="N874" i="1" s="1" a="1"/>
  <c r="N874" i="1" s="1"/>
  <c r="O874" i="1"/>
  <c r="M875" i="1"/>
  <c r="N875" i="1" s="1" a="1"/>
  <c r="N875" i="1" s="1"/>
  <c r="O875" i="1"/>
  <c r="M876" i="1"/>
  <c r="N876" i="1" s="1" a="1"/>
  <c r="N876" i="1" s="1"/>
  <c r="O876" i="1"/>
  <c r="M877" i="1"/>
  <c r="N877" i="1" s="1" a="1"/>
  <c r="N877" i="1" s="1"/>
  <c r="O877" i="1"/>
  <c r="M878" i="1"/>
  <c r="N878" i="1" s="1" a="1"/>
  <c r="N878" i="1" s="1"/>
  <c r="O878" i="1"/>
  <c r="M879" i="1"/>
  <c r="N879" i="1" s="1" a="1"/>
  <c r="N879" i="1" s="1"/>
  <c r="O879" i="1"/>
  <c r="M880" i="1"/>
  <c r="N880" i="1" s="1" a="1"/>
  <c r="N880" i="1" s="1"/>
  <c r="O880" i="1"/>
  <c r="M881" i="1"/>
  <c r="N881" i="1" s="1" a="1"/>
  <c r="N881" i="1" s="1"/>
  <c r="O881" i="1"/>
  <c r="M882" i="1"/>
  <c r="N882" i="1" s="1" a="1"/>
  <c r="N882" i="1" s="1"/>
  <c r="O882" i="1"/>
  <c r="M883" i="1"/>
  <c r="N883" i="1" s="1" a="1"/>
  <c r="N883" i="1" s="1"/>
  <c r="O883" i="1"/>
  <c r="M884" i="1"/>
  <c r="N884" i="1" s="1" a="1"/>
  <c r="N884" i="1" s="1"/>
  <c r="O884" i="1"/>
  <c r="M885" i="1"/>
  <c r="N885" i="1" s="1" a="1"/>
  <c r="N885" i="1" s="1"/>
  <c r="O885" i="1"/>
  <c r="M886" i="1"/>
  <c r="N886" i="1" s="1" a="1"/>
  <c r="N886" i="1" s="1"/>
  <c r="O886" i="1"/>
  <c r="M887" i="1"/>
  <c r="N887" i="1" s="1" a="1"/>
  <c r="N887" i="1" s="1"/>
  <c r="O887" i="1"/>
  <c r="M888" i="1"/>
  <c r="N888" i="1" s="1" a="1"/>
  <c r="N888" i="1" s="1"/>
  <c r="O888" i="1"/>
  <c r="M889" i="1"/>
  <c r="N889" i="1" s="1" a="1"/>
  <c r="N889" i="1" s="1"/>
  <c r="O889" i="1"/>
  <c r="M890" i="1"/>
  <c r="N890" i="1" s="1" a="1"/>
  <c r="N890" i="1" s="1"/>
  <c r="O890" i="1"/>
  <c r="M891" i="1"/>
  <c r="N891" i="1" s="1" a="1"/>
  <c r="N891" i="1" s="1"/>
  <c r="O891" i="1"/>
  <c r="M892" i="1"/>
  <c r="N892" i="1" s="1" a="1"/>
  <c r="N892" i="1" s="1"/>
  <c r="O892" i="1"/>
  <c r="M893" i="1"/>
  <c r="N893" i="1" s="1" a="1"/>
  <c r="N893" i="1" s="1"/>
  <c r="O893" i="1"/>
  <c r="M894" i="1"/>
  <c r="N894" i="1" s="1" a="1"/>
  <c r="N894" i="1" s="1"/>
  <c r="O894" i="1"/>
  <c r="M895" i="1"/>
  <c r="N895" i="1" s="1" a="1"/>
  <c r="N895" i="1" s="1"/>
  <c r="O895" i="1"/>
  <c r="M896" i="1"/>
  <c r="N896" i="1" s="1" a="1"/>
  <c r="N896" i="1" s="1"/>
  <c r="O896" i="1"/>
  <c r="M897" i="1"/>
  <c r="N897" i="1" s="1" a="1"/>
  <c r="N897" i="1" s="1"/>
  <c r="O897" i="1"/>
  <c r="M898" i="1"/>
  <c r="N898" i="1" s="1" a="1"/>
  <c r="N898" i="1" s="1"/>
  <c r="O898" i="1"/>
  <c r="M899" i="1"/>
  <c r="N899" i="1" s="1" a="1"/>
  <c r="N899" i="1" s="1"/>
  <c r="O899" i="1"/>
  <c r="M900" i="1"/>
  <c r="N900" i="1" s="1" a="1"/>
  <c r="N900" i="1" s="1"/>
  <c r="O900" i="1"/>
  <c r="M901" i="1"/>
  <c r="N901" i="1" s="1" a="1"/>
  <c r="N901" i="1" s="1"/>
  <c r="O901" i="1"/>
  <c r="M902" i="1"/>
  <c r="N902" i="1" s="1" a="1"/>
  <c r="N902" i="1" s="1"/>
  <c r="O902" i="1"/>
  <c r="M903" i="1"/>
  <c r="N903" i="1" s="1" a="1"/>
  <c r="N903" i="1" s="1"/>
  <c r="O903" i="1"/>
  <c r="M904" i="1"/>
  <c r="N904" i="1" s="1" a="1"/>
  <c r="N904" i="1" s="1"/>
  <c r="O904" i="1"/>
  <c r="M905" i="1"/>
  <c r="N905" i="1" s="1" a="1"/>
  <c r="N905" i="1" s="1"/>
  <c r="O905" i="1"/>
  <c r="M906" i="1"/>
  <c r="N906" i="1" s="1" a="1"/>
  <c r="N906" i="1" s="1"/>
  <c r="O906" i="1"/>
  <c r="M907" i="1"/>
  <c r="N907" i="1" s="1" a="1"/>
  <c r="N907" i="1" s="1"/>
  <c r="O907" i="1"/>
  <c r="M908" i="1"/>
  <c r="N908" i="1" s="1" a="1"/>
  <c r="N908" i="1" s="1"/>
  <c r="O908" i="1"/>
  <c r="M909" i="1"/>
  <c r="N909" i="1" s="1" a="1"/>
  <c r="N909" i="1" s="1"/>
  <c r="O909" i="1"/>
  <c r="M910" i="1"/>
  <c r="N910" i="1" s="1" a="1"/>
  <c r="N910" i="1" s="1"/>
  <c r="O910" i="1"/>
  <c r="M911" i="1"/>
  <c r="N911" i="1" s="1" a="1"/>
  <c r="N911" i="1" s="1"/>
  <c r="O911" i="1"/>
  <c r="M912" i="1"/>
  <c r="N912" i="1" s="1" a="1"/>
  <c r="N912" i="1" s="1"/>
  <c r="O912" i="1"/>
  <c r="M913" i="1"/>
  <c r="N913" i="1" s="1" a="1"/>
  <c r="N913" i="1" s="1"/>
  <c r="O913" i="1"/>
  <c r="M914" i="1"/>
  <c r="N914" i="1" s="1" a="1"/>
  <c r="N914" i="1" s="1"/>
  <c r="O914" i="1"/>
  <c r="M915" i="1"/>
  <c r="N915" i="1" s="1" a="1"/>
  <c r="N915" i="1" s="1"/>
  <c r="O915" i="1"/>
  <c r="M916" i="1"/>
  <c r="N916" i="1" s="1" a="1"/>
  <c r="N916" i="1" s="1"/>
  <c r="O916" i="1"/>
  <c r="M917" i="1"/>
  <c r="N917" i="1" s="1" a="1"/>
  <c r="N917" i="1" s="1"/>
  <c r="O917" i="1"/>
  <c r="M918" i="1"/>
  <c r="N918" i="1" s="1" a="1"/>
  <c r="N918" i="1" s="1"/>
  <c r="O918" i="1"/>
  <c r="M919" i="1"/>
  <c r="N919" i="1" s="1" a="1"/>
  <c r="N919" i="1" s="1"/>
  <c r="O919" i="1"/>
  <c r="M920" i="1"/>
  <c r="N920" i="1" s="1" a="1"/>
  <c r="N920" i="1" s="1"/>
  <c r="O920" i="1"/>
  <c r="M921" i="1"/>
  <c r="N921" i="1" s="1" a="1"/>
  <c r="N921" i="1" s="1"/>
  <c r="O921" i="1"/>
  <c r="M922" i="1"/>
  <c r="N922" i="1" s="1" a="1"/>
  <c r="N922" i="1" s="1"/>
  <c r="O922" i="1"/>
  <c r="M923" i="1"/>
  <c r="N923" i="1" s="1" a="1"/>
  <c r="N923" i="1" s="1"/>
  <c r="O923" i="1"/>
  <c r="M924" i="1"/>
  <c r="N924" i="1" s="1" a="1"/>
  <c r="N924" i="1" s="1"/>
  <c r="O924" i="1"/>
  <c r="M925" i="1"/>
  <c r="N925" i="1" s="1" a="1"/>
  <c r="N925" i="1" s="1"/>
  <c r="O925" i="1"/>
  <c r="M926" i="1"/>
  <c r="N926" i="1" s="1" a="1"/>
  <c r="N926" i="1" s="1"/>
  <c r="O926" i="1"/>
  <c r="M927" i="1"/>
  <c r="N927" i="1" s="1" a="1"/>
  <c r="N927" i="1" s="1"/>
  <c r="O927" i="1"/>
  <c r="M928" i="1"/>
  <c r="N928" i="1" s="1" a="1"/>
  <c r="N928" i="1" s="1"/>
  <c r="O928" i="1"/>
  <c r="M929" i="1"/>
  <c r="N929" i="1" s="1" a="1"/>
  <c r="N929" i="1" s="1"/>
  <c r="O929" i="1"/>
  <c r="M930" i="1"/>
  <c r="N930" i="1" s="1" a="1"/>
  <c r="N930" i="1" s="1"/>
  <c r="O930" i="1"/>
  <c r="M931" i="1"/>
  <c r="N931" i="1" s="1" a="1"/>
  <c r="N931" i="1" s="1"/>
  <c r="O931" i="1"/>
  <c r="M932" i="1"/>
  <c r="N932" i="1" s="1" a="1"/>
  <c r="N932" i="1" s="1"/>
  <c r="O932" i="1"/>
  <c r="M933" i="1"/>
  <c r="N933" i="1" s="1" a="1"/>
  <c r="N933" i="1" s="1"/>
  <c r="O933" i="1"/>
  <c r="M934" i="1"/>
  <c r="N934" i="1" s="1" a="1"/>
  <c r="N934" i="1" s="1"/>
  <c r="O934" i="1"/>
  <c r="M935" i="1"/>
  <c r="N935" i="1" s="1" a="1"/>
  <c r="N935" i="1" s="1"/>
  <c r="O935" i="1"/>
  <c r="M936" i="1"/>
  <c r="N936" i="1" s="1" a="1"/>
  <c r="N936" i="1" s="1"/>
  <c r="O936" i="1"/>
  <c r="M937" i="1"/>
  <c r="N937" i="1" s="1" a="1"/>
  <c r="N937" i="1" s="1"/>
  <c r="O937" i="1"/>
  <c r="M938" i="1"/>
  <c r="N938" i="1" s="1" a="1"/>
  <c r="N938" i="1" s="1"/>
  <c r="O938" i="1"/>
  <c r="M939" i="1"/>
  <c r="N939" i="1" s="1" a="1"/>
  <c r="N939" i="1" s="1"/>
  <c r="O939" i="1"/>
  <c r="M940" i="1"/>
  <c r="N940" i="1" s="1" a="1"/>
  <c r="N940" i="1" s="1"/>
  <c r="O940" i="1"/>
  <c r="M941" i="1"/>
  <c r="N941" i="1" s="1" a="1"/>
  <c r="N941" i="1" s="1"/>
  <c r="O941" i="1"/>
  <c r="M942" i="1"/>
  <c r="N942" i="1" s="1" a="1"/>
  <c r="N942" i="1" s="1"/>
  <c r="O942" i="1"/>
  <c r="M943" i="1"/>
  <c r="N943" i="1" s="1" a="1"/>
  <c r="N943" i="1" s="1"/>
  <c r="O943" i="1"/>
  <c r="M944" i="1"/>
  <c r="N944" i="1" s="1" a="1"/>
  <c r="N944" i="1" s="1"/>
  <c r="O944" i="1"/>
  <c r="M945" i="1"/>
  <c r="N945" i="1" s="1" a="1"/>
  <c r="N945" i="1" s="1"/>
  <c r="O945" i="1"/>
  <c r="M946" i="1"/>
  <c r="N946" i="1" s="1" a="1"/>
  <c r="N946" i="1" s="1"/>
  <c r="O946" i="1"/>
  <c r="M947" i="1"/>
  <c r="N947" i="1" s="1" a="1"/>
  <c r="N947" i="1" s="1"/>
  <c r="O947" i="1"/>
  <c r="M948" i="1"/>
  <c r="N948" i="1" s="1" a="1"/>
  <c r="N948" i="1" s="1"/>
  <c r="O948" i="1"/>
  <c r="M949" i="1"/>
  <c r="N949" i="1" s="1" a="1"/>
  <c r="N949" i="1" s="1"/>
  <c r="O949" i="1"/>
  <c r="M950" i="1"/>
  <c r="N950" i="1" s="1" a="1"/>
  <c r="N950" i="1" s="1"/>
  <c r="O950" i="1"/>
  <c r="M951" i="1"/>
  <c r="N951" i="1" s="1" a="1"/>
  <c r="N951" i="1" s="1"/>
  <c r="O951" i="1"/>
  <c r="M952" i="1"/>
  <c r="N952" i="1" s="1" a="1"/>
  <c r="N952" i="1" s="1"/>
  <c r="O952" i="1"/>
  <c r="M953" i="1"/>
  <c r="N953" i="1" s="1" a="1"/>
  <c r="N953" i="1" s="1"/>
  <c r="O953" i="1"/>
  <c r="M954" i="1"/>
  <c r="N954" i="1" s="1" a="1"/>
  <c r="N954" i="1" s="1"/>
  <c r="O954" i="1"/>
  <c r="M955" i="1"/>
  <c r="N955" i="1" s="1" a="1"/>
  <c r="N955" i="1" s="1"/>
  <c r="O955" i="1"/>
  <c r="M956" i="1"/>
  <c r="N956" i="1" s="1" a="1"/>
  <c r="N956" i="1" s="1"/>
  <c r="O956" i="1"/>
  <c r="M957" i="1"/>
  <c r="N957" i="1" s="1" a="1"/>
  <c r="N957" i="1" s="1"/>
  <c r="O957" i="1"/>
  <c r="M958" i="1"/>
  <c r="N958" i="1" s="1" a="1"/>
  <c r="N958" i="1" s="1"/>
  <c r="O958" i="1"/>
  <c r="M959" i="1"/>
  <c r="N959" i="1" s="1" a="1"/>
  <c r="N959" i="1" s="1"/>
  <c r="O959" i="1"/>
  <c r="M960" i="1"/>
  <c r="N960" i="1" s="1" a="1"/>
  <c r="N960" i="1" s="1"/>
  <c r="O960" i="1"/>
  <c r="M961" i="1"/>
  <c r="N961" i="1" s="1" a="1"/>
  <c r="N961" i="1" s="1"/>
  <c r="O961" i="1"/>
  <c r="M962" i="1"/>
  <c r="N962" i="1" s="1" a="1"/>
  <c r="N962" i="1" s="1"/>
  <c r="O962" i="1"/>
  <c r="M963" i="1"/>
  <c r="N963" i="1" s="1" a="1"/>
  <c r="N963" i="1" s="1"/>
  <c r="O963" i="1"/>
  <c r="M964" i="1"/>
  <c r="N964" i="1" s="1" a="1"/>
  <c r="N964" i="1" s="1"/>
  <c r="O964" i="1"/>
  <c r="M965" i="1"/>
  <c r="N965" i="1" s="1" a="1"/>
  <c r="N965" i="1" s="1"/>
  <c r="O965" i="1"/>
  <c r="M966" i="1"/>
  <c r="N966" i="1" s="1" a="1"/>
  <c r="N966" i="1" s="1"/>
  <c r="O966" i="1"/>
  <c r="M967" i="1"/>
  <c r="N967" i="1" s="1" a="1"/>
  <c r="N967" i="1" s="1"/>
  <c r="O967" i="1"/>
  <c r="M968" i="1"/>
  <c r="N968" i="1" s="1" a="1"/>
  <c r="N968" i="1" s="1"/>
  <c r="O968" i="1"/>
  <c r="M969" i="1"/>
  <c r="N969" i="1" s="1" a="1"/>
  <c r="N969" i="1" s="1"/>
  <c r="O969" i="1"/>
  <c r="M970" i="1"/>
  <c r="N970" i="1" s="1" a="1"/>
  <c r="N970" i="1" s="1"/>
  <c r="O970" i="1"/>
  <c r="M971" i="1"/>
  <c r="N971" i="1" s="1" a="1"/>
  <c r="N971" i="1" s="1"/>
  <c r="O971" i="1"/>
  <c r="M972" i="1"/>
  <c r="N972" i="1" s="1" a="1"/>
  <c r="N972" i="1" s="1"/>
  <c r="O972" i="1"/>
  <c r="M973" i="1"/>
  <c r="N973" i="1" s="1" a="1"/>
  <c r="N973" i="1" s="1"/>
  <c r="O973" i="1"/>
  <c r="M974" i="1"/>
  <c r="N974" i="1" s="1" a="1"/>
  <c r="N974" i="1" s="1"/>
  <c r="O974" i="1"/>
  <c r="M975" i="1"/>
  <c r="N975" i="1" s="1" a="1"/>
  <c r="N975" i="1" s="1"/>
  <c r="O975" i="1"/>
  <c r="M976" i="1"/>
  <c r="N976" i="1" s="1" a="1"/>
  <c r="N976" i="1" s="1"/>
  <c r="O976" i="1"/>
  <c r="M977" i="1"/>
  <c r="N977" i="1" s="1" a="1"/>
  <c r="N977" i="1" s="1"/>
  <c r="O977" i="1"/>
  <c r="M978" i="1"/>
  <c r="N978" i="1" s="1" a="1"/>
  <c r="N978" i="1" s="1"/>
  <c r="O978" i="1"/>
  <c r="M979" i="1"/>
  <c r="N979" i="1" s="1" a="1"/>
  <c r="N979" i="1" s="1"/>
  <c r="O979" i="1"/>
  <c r="M980" i="1"/>
  <c r="N980" i="1" s="1" a="1"/>
  <c r="N980" i="1" s="1"/>
  <c r="O980" i="1"/>
  <c r="M981" i="1"/>
  <c r="N981" i="1" s="1" a="1"/>
  <c r="N981" i="1" s="1"/>
  <c r="O981" i="1"/>
  <c r="M982" i="1"/>
  <c r="N982" i="1" s="1" a="1"/>
  <c r="N982" i="1" s="1"/>
  <c r="O982" i="1"/>
  <c r="M983" i="1"/>
  <c r="N983" i="1" s="1" a="1"/>
  <c r="N983" i="1" s="1"/>
  <c r="O983" i="1"/>
  <c r="M984" i="1"/>
  <c r="N984" i="1" s="1" a="1"/>
  <c r="N984" i="1" s="1"/>
  <c r="O984" i="1"/>
  <c r="M985" i="1"/>
  <c r="N985" i="1" s="1" a="1"/>
  <c r="N985" i="1" s="1"/>
  <c r="O985" i="1"/>
  <c r="M986" i="1"/>
  <c r="N986" i="1" s="1" a="1"/>
  <c r="N986" i="1" s="1"/>
  <c r="O986" i="1"/>
  <c r="M987" i="1"/>
  <c r="N987" i="1" s="1" a="1"/>
  <c r="N987" i="1" s="1"/>
  <c r="O987" i="1"/>
  <c r="M988" i="1"/>
  <c r="N988" i="1" s="1" a="1"/>
  <c r="N988" i="1" s="1"/>
  <c r="O988" i="1"/>
  <c r="M989" i="1"/>
  <c r="N989" i="1" s="1" a="1"/>
  <c r="N989" i="1" s="1"/>
  <c r="O989" i="1"/>
  <c r="M990" i="1"/>
  <c r="N990" i="1" s="1" a="1"/>
  <c r="N990" i="1" s="1"/>
  <c r="O990" i="1"/>
  <c r="M991" i="1"/>
  <c r="N991" i="1" s="1" a="1"/>
  <c r="N991" i="1" s="1"/>
  <c r="O991" i="1"/>
  <c r="M992" i="1"/>
  <c r="N992" i="1" s="1" a="1"/>
  <c r="N992" i="1" s="1"/>
  <c r="O992" i="1"/>
  <c r="M993" i="1"/>
  <c r="N993" i="1" s="1" a="1"/>
  <c r="N993" i="1" s="1"/>
  <c r="O993" i="1"/>
  <c r="M994" i="1"/>
  <c r="N994" i="1" s="1" a="1"/>
  <c r="N994" i="1" s="1"/>
  <c r="O994" i="1"/>
  <c r="M995" i="1"/>
  <c r="N995" i="1" s="1" a="1"/>
  <c r="N995" i="1" s="1"/>
  <c r="O995" i="1"/>
  <c r="M996" i="1"/>
  <c r="N996" i="1" s="1" a="1"/>
  <c r="N996" i="1" s="1"/>
  <c r="O996" i="1"/>
  <c r="M997" i="1"/>
  <c r="N997" i="1" s="1" a="1"/>
  <c r="N997" i="1" s="1"/>
  <c r="O997" i="1"/>
  <c r="M998" i="1"/>
  <c r="N998" i="1" s="1" a="1"/>
  <c r="N998" i="1" s="1"/>
  <c r="O998" i="1"/>
  <c r="M999" i="1"/>
  <c r="N999" i="1" s="1" a="1"/>
  <c r="N999" i="1" s="1"/>
  <c r="O999" i="1"/>
  <c r="M1000" i="1"/>
  <c r="N1000" i="1" s="1" a="1"/>
  <c r="N1000" i="1" s="1"/>
  <c r="O1000" i="1"/>
  <c r="M1001" i="1"/>
  <c r="N1001" i="1" s="1" a="1"/>
  <c r="N1001" i="1" s="1"/>
  <c r="O1001" i="1"/>
  <c r="M2" i="1"/>
  <c r="B5" i="2"/>
  <c r="B6" i="2"/>
  <c r="B10" i="2" l="1"/>
  <c r="B9" i="2"/>
  <c r="B8" i="2"/>
  <c r="N2" i="1" a="1"/>
  <c r="N2" i="1" s="1"/>
  <c r="B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<sst xmlns="http://schemas.openxmlformats.org/spreadsheetml/2006/main" count="2071" uniqueCount="1051">
  <si>
    <t>Gender</t>
  </si>
  <si>
    <t>Average of Academic_Score</t>
  </si>
  <si>
    <t>Average of Success_Score</t>
  </si>
  <si>
    <t>Average of Attendance_Percentage</t>
  </si>
  <si>
    <t>Female</t>
  </si>
  <si>
    <t>Male</t>
  </si>
  <si>
    <t>Other</t>
  </si>
  <si>
    <t>Grand Total</t>
  </si>
  <si>
    <t>Count of Student_ID</t>
  </si>
  <si>
    <t>Performance_Category</t>
  </si>
  <si>
    <t>Risk_Level</t>
  </si>
  <si>
    <t>Developing</t>
  </si>
  <si>
    <t>Exceptional</t>
  </si>
  <si>
    <t>Needs Improvement</t>
  </si>
  <si>
    <t>Strong</t>
  </si>
  <si>
    <t>High Risk</t>
  </si>
  <si>
    <t>Low Risk</t>
  </si>
  <si>
    <t>Medium Risk</t>
  </si>
  <si>
    <t>Age_Group</t>
  </si>
  <si>
    <t>Average of Engagement_Score</t>
  </si>
  <si>
    <t>Average of Study_Hours_per_Week</t>
  </si>
  <si>
    <t>18-20</t>
  </si>
  <si>
    <t>21-23</t>
  </si>
  <si>
    <t>24-25</t>
  </si>
  <si>
    <t>Student_ID</t>
  </si>
  <si>
    <t>Age</t>
  </si>
  <si>
    <t>Attendance_Percentage</t>
  </si>
  <si>
    <t>Assignments_Completed</t>
  </si>
  <si>
    <t>Class_Participation</t>
  </si>
  <si>
    <t>Midterm_Grade</t>
  </si>
  <si>
    <t>Final_Grade</t>
  </si>
  <si>
    <t>Study_Hours_per_Week</t>
  </si>
  <si>
    <t>Projects_Submitted</t>
  </si>
  <si>
    <t>Academic_Score</t>
  </si>
  <si>
    <t>Engagement_Score</t>
  </si>
  <si>
    <t>Success_Score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</si>
  <si>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</si>
  <si>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</si>
  <si>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</si>
  <si>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</si>
  <si>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</si>
  <si>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</si>
  <si>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</si>
  <si>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</si>
  <si>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</si>
  <si>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</si>
  <si>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</si>
  <si>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</si>
  <si>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</si>
  <si>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</si>
  <si>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</si>
  <si>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</si>
  <si>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</si>
  <si>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</si>
  <si>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</si>
  <si>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</si>
  <si>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</si>
  <si>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</si>
  <si>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</si>
  <si>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</si>
  <si>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</si>
  <si>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</si>
  <si>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</si>
  <si>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</si>
  <si>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</si>
  <si>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</si>
  <si>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</si>
  <si>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</si>
  <si>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</si>
  <si>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</si>
  <si>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</si>
  <si>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</si>
  <si>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</si>
  <si>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</si>
  <si>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</si>
  <si>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</si>
  <si>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</si>
  <si>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</si>
  <si>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</si>
  <si>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</si>
  <si>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</si>
  <si>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</si>
  <si>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</si>
  <si>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</si>
  <si>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</si>
  <si>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</si>
  <si>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</si>
  <si>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</si>
  <si>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</si>
  <si>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</si>
  <si>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</si>
  <si>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</si>
  <si>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</si>
  <si>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</si>
  <si>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</si>
  <si>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</si>
  <si>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</si>
  <si>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</si>
  <si>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</si>
  <si>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</si>
  <si>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</si>
  <si>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</si>
  <si>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</si>
  <si>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</si>
  <si>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</si>
  <si>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</si>
  <si>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</si>
  <si>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</si>
  <si>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</si>
  <si>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</si>
  <si>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</si>
  <si>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</si>
  <si>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</si>
  <si>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</si>
  <si>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</si>
  <si>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</si>
  <si>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</si>
  <si>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</si>
  <si>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</si>
  <si>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</si>
  <si>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</si>
  <si>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</si>
  <si>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</si>
  <si>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</si>
  <si>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</si>
  <si>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</si>
  <si>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</si>
  <si>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</si>
  <si>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</si>
  <si>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</si>
  <si>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</si>
  <si>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</si>
  <si>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</si>
  <si>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</si>
  <si>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</si>
  <si>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</si>
  <si>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</si>
  <si>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</si>
  <si>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</si>
  <si>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</si>
  <si>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</si>
  <si>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</si>
  <si>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</si>
  <si>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</si>
  <si>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</si>
  <si>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</si>
  <si>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</si>
  <si>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</si>
  <si>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</si>
  <si>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</si>
  <si>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</si>
  <si>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</si>
  <si>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</si>
  <si>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</si>
  <si>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</si>
  <si>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</si>
  <si>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</si>
  <si>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</si>
  <si>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</si>
  <si>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</si>
  <si>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</si>
  <si>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</si>
  <si>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</si>
  <si>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</si>
  <si>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</si>
  <si>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</si>
  <si>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</si>
  <si>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</si>
  <si>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</si>
  <si>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</si>
  <si>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</si>
  <si>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</si>
  <si>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</si>
  <si>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</si>
  <si>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</si>
  <si>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</si>
  <si>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</si>
  <si>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</si>
  <si>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</si>
  <si>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</si>
  <si>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</si>
  <si>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</si>
  <si>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</si>
  <si>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</si>
  <si>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</si>
  <si>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</si>
  <si>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</si>
  <si>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</si>
  <si>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</si>
  <si>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</si>
  <si>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</si>
  <si>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</si>
  <si>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</si>
  <si>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</si>
  <si>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</si>
  <si>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</si>
  <si>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</si>
  <si>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</si>
  <si>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</si>
  <si>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</si>
  <si>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</si>
  <si>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</si>
  <si>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</si>
  <si>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</si>
  <si>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</si>
  <si>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</si>
  <si>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</si>
  <si>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</si>
  <si>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</si>
  <si>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</si>
  <si>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</si>
  <si>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</si>
  <si>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</si>
  <si>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</si>
  <si>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</si>
  <si>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</si>
  <si>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</si>
  <si>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</si>
  <si>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</si>
  <si>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</si>
  <si>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</si>
  <si>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</si>
  <si>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</si>
  <si>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</si>
  <si>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</si>
  <si>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</si>
  <si>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</si>
  <si>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</si>
  <si>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</si>
  <si>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</si>
  <si>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</si>
  <si>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</si>
  <si>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</si>
  <si>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</si>
  <si>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</si>
  <si>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</si>
  <si>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</si>
  <si>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</si>
  <si>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</si>
  <si>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</si>
  <si>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</si>
  <si>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</si>
  <si>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</si>
  <si>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</si>
  <si>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</si>
  <si>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</si>
  <si>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</si>
  <si>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</si>
  <si>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</si>
  <si>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</si>
  <si>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</si>
  <si>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</si>
  <si>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</si>
  <si>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</si>
  <si>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</si>
  <si>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</si>
  <si>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</si>
  <si>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</si>
  <si>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</si>
  <si>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</si>
  <si>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</si>
  <si>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</si>
  <si>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</si>
  <si>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</si>
  <si>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</si>
  <si>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</si>
  <si>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</si>
  <si>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</si>
  <si>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</si>
  <si>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</si>
  <si>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</si>
  <si>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</si>
  <si>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</si>
  <si>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</si>
  <si>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</si>
  <si>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</si>
  <si>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</si>
  <si>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</si>
  <si>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</si>
  <si>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</si>
  <si>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</si>
  <si>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</si>
  <si>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</si>
  <si>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</si>
  <si>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</si>
  <si>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</si>
  <si>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</si>
  <si>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</si>
  <si>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</si>
  <si>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</si>
  <si>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</si>
  <si>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</si>
  <si>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</si>
  <si>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</si>
  <si>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</si>
  <si>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</si>
  <si>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</si>
  <si>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</si>
  <si>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</si>
  <si>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</si>
  <si>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</si>
  <si>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</si>
  <si>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</si>
  <si>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</si>
  <si>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</si>
  <si>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</si>
  <si>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</si>
  <si>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</si>
  <si>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</si>
  <si>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</si>
  <si>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</si>
  <si>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</si>
  <si>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</si>
  <si>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</si>
  <si>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</si>
  <si>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</si>
  <si>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</si>
  <si>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</si>
  <si>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</si>
  <si>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</si>
  <si>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</si>
  <si>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</si>
  <si>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</si>
  <si>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</si>
  <si>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</si>
  <si>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</si>
  <si>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</si>
  <si>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</si>
  <si>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</si>
  <si>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</si>
  <si>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</si>
  <si>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</si>
  <si>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</si>
  <si>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</si>
  <si>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</si>
  <si>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</si>
  <si>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</si>
  <si>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</si>
  <si>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</si>
  <si>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</si>
  <si>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</si>
  <si>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</si>
  <si>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</si>
  <si>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</si>
  <si>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</si>
  <si>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</si>
  <si>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</si>
  <si>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</si>
  <si>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</si>
  <si>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</si>
  <si>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</si>
  <si>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</si>
  <si>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</si>
  <si>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</si>
  <si>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</si>
  <si>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</si>
  <si>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</si>
  <si>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</si>
  <si>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</si>
  <si>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</si>
  <si>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</si>
  <si>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</si>
  <si>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</si>
  <si>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</si>
  <si>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</si>
  <si>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</si>
  <si>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</si>
  <si>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</si>
  <si>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</si>
  <si>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</si>
  <si>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</si>
  <si>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</si>
  <si>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</si>
  <si>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</si>
  <si>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</si>
  <si>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</si>
  <si>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</si>
  <si>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</si>
  <si>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</si>
  <si>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</si>
  <si>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</si>
  <si>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</si>
  <si>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</si>
  <si>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</si>
  <si>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</si>
  <si>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</si>
  <si>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</si>
  <si>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</si>
  <si>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</si>
  <si>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</si>
  <si>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</si>
  <si>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</si>
  <si>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</si>
  <si>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</si>
  <si>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</si>
  <si>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</si>
  <si>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</si>
  <si>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</si>
  <si>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</si>
  <si>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</si>
  <si>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</si>
  <si>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</si>
  <si>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</si>
  <si>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</si>
  <si>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</si>
  <si>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</si>
  <si>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</si>
  <si>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</si>
  <si>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</si>
  <si>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</si>
  <si>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</si>
  <si>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</si>
  <si>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</si>
  <si>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</si>
  <si>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</si>
  <si>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</si>
  <si>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</si>
  <si>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</si>
  <si>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</si>
  <si>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</si>
  <si>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</si>
  <si>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</si>
  <si>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</si>
  <si>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</si>
  <si>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</si>
  <si>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</si>
  <si>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</si>
  <si>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</si>
  <si>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</si>
  <si>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</si>
  <si>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</si>
  <si>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</si>
  <si>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</si>
  <si>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</si>
  <si>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</si>
  <si>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</si>
  <si>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</si>
  <si>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</si>
  <si>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</si>
  <si>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</si>
  <si>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</si>
  <si>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</si>
  <si>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</si>
  <si>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</si>
  <si>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</si>
  <si>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</si>
  <si>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</si>
  <si>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</si>
  <si>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</si>
  <si>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</si>
  <si>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</si>
  <si>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</si>
  <si>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</si>
  <si>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</si>
  <si>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</si>
  <si>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</si>
  <si>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</si>
  <si>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</si>
  <si>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</si>
  <si>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</si>
  <si>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</si>
  <si>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</si>
  <si>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</si>
  <si>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</si>
  <si>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</si>
  <si>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</si>
  <si>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</si>
  <si>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</si>
  <si>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</si>
  <si>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</si>
  <si>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</si>
  <si>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</si>
  <si>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</si>
  <si>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</si>
  <si>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</si>
  <si>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</si>
  <si>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</si>
  <si>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</si>
  <si>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</si>
  <si>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</si>
  <si>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</si>
  <si>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</si>
  <si>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</si>
  <si>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</si>
  <si>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</si>
  <si>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</si>
  <si>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</si>
  <si>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</si>
  <si>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</si>
  <si>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</si>
  <si>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</si>
  <si>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</si>
  <si>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</si>
  <si>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</si>
  <si>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</si>
  <si>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</si>
  <si>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</si>
  <si>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</si>
  <si>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</si>
  <si>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</si>
  <si>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</si>
  <si>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</si>
  <si>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</si>
  <si>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</si>
  <si>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</si>
  <si>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</si>
  <si>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</si>
  <si>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</si>
  <si>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</si>
  <si>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</si>
  <si>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</si>
  <si>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</si>
  <si>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</si>
  <si>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</si>
  <si>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</si>
  <si>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</si>
  <si>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</si>
  <si>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</si>
  <si>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</si>
  <si>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</si>
  <si>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</si>
  <si>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</si>
  <si>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</si>
  <si>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</si>
  <si>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</si>
  <si>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</si>
  <si>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</si>
  <si>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</si>
  <si>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</si>
  <si>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</si>
  <si>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</si>
  <si>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</si>
  <si>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</si>
  <si>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</si>
  <si>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</si>
  <si>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</si>
  <si>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</si>
  <si>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</si>
  <si>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</si>
  <si>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</si>
  <si>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</si>
  <si>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</si>
  <si>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</si>
  <si>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</si>
  <si>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</si>
  <si>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</si>
  <si>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</si>
  <si>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</si>
  <si>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</si>
  <si>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</si>
  <si>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</si>
  <si>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</si>
  <si>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</si>
  <si>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</si>
  <si>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</si>
  <si>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</si>
  <si>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</si>
  <si>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</si>
  <si>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</si>
  <si>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</si>
  <si>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</si>
  <si>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</si>
  <si>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</si>
  <si>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</si>
  <si>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</si>
  <si>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</si>
  <si>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</si>
  <si>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</si>
  <si>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</si>
  <si>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</si>
  <si>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</si>
  <si>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</si>
  <si>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</si>
  <si>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</si>
  <si>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</si>
  <si>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</si>
  <si>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</si>
  <si>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</si>
  <si>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</si>
  <si>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</si>
  <si>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</si>
  <si>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</si>
  <si>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</si>
  <si>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</si>
  <si>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</si>
  <si>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</si>
  <si>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</si>
  <si>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</si>
  <si>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</si>
  <si>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</si>
  <si>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</si>
  <si>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</si>
  <si>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</si>
  <si>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</si>
  <si>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</si>
  <si>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</si>
  <si>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</si>
  <si>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</si>
  <si>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</si>
  <si>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</si>
  <si>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</si>
  <si>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</si>
  <si>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</si>
  <si>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</si>
  <si>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</si>
  <si>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</si>
  <si>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</si>
  <si>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</si>
  <si>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</si>
  <si>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</si>
  <si>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</si>
  <si>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</si>
  <si>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</si>
  <si>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</si>
  <si>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</si>
  <si>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</si>
  <si>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</si>
  <si>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</si>
  <si>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</si>
  <si>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</si>
  <si>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</si>
  <si>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</si>
  <si>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</si>
  <si>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</si>
  <si>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</si>
  <si>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</si>
  <si>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</si>
  <si>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</si>
  <si>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</si>
  <si>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</si>
  <si>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</si>
  <si>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</si>
  <si>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</si>
  <si>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</si>
  <si>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</si>
  <si>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</si>
  <si>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</si>
  <si>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</si>
  <si>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</si>
  <si>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</si>
  <si>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</si>
  <si>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</si>
  <si>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</si>
  <si>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</si>
  <si>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</si>
  <si>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</si>
  <si>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</si>
  <si>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</si>
  <si>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</si>
  <si>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</si>
  <si>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</si>
  <si>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</si>
  <si>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</si>
  <si>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</si>
  <si>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</si>
  <si>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</si>
  <si>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</si>
  <si>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</si>
  <si>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</si>
  <si>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</si>
  <si>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</si>
  <si>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</si>
  <si>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</si>
  <si>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</si>
  <si>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</si>
  <si>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</si>
  <si>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</si>
  <si>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</si>
  <si>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</si>
  <si>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</si>
  <si>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</si>
  <si>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</si>
  <si>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</si>
  <si>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</si>
  <si>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</si>
  <si>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</si>
  <si>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</si>
  <si>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</si>
  <si>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</si>
  <si>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</si>
  <si>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</si>
  <si>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</si>
  <si>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</si>
  <si>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</si>
  <si>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</si>
  <si>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</si>
  <si>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</si>
  <si>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</si>
  <si>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</si>
  <si>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</si>
  <si>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</si>
  <si>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</si>
  <si>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</si>
  <si>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</si>
  <si>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</si>
  <si>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</si>
  <si>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</si>
  <si>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</si>
  <si>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</si>
  <si>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</si>
  <si>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</si>
  <si>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</si>
  <si>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</si>
  <si>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</si>
  <si>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</si>
  <si>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</si>
  <si>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</si>
  <si>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</si>
  <si>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</si>
  <si>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</si>
  <si>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</si>
  <si>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</si>
  <si>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</si>
  <si>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</si>
  <si>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</si>
  <si>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</si>
  <si>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</si>
  <si>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</si>
  <si>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</si>
  <si>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</si>
  <si>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</si>
  <si>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</si>
  <si>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</si>
  <si>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</si>
  <si>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</si>
  <si>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</si>
  <si>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</si>
  <si>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</si>
  <si>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</si>
  <si>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</si>
  <si>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</si>
  <si>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</si>
  <si>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</si>
  <si>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</si>
  <si>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</si>
  <si>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</si>
  <si>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</si>
  <si>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</si>
  <si>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</si>
  <si>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</si>
  <si>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</si>
  <si>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</si>
  <si>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</si>
  <si>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</si>
  <si>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</si>
  <si>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</si>
  <si>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</si>
  <si>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</si>
  <si>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</si>
  <si>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</si>
  <si>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</si>
  <si>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</si>
  <si>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</si>
  <si>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</si>
  <si>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</si>
  <si>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</si>
  <si>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</si>
  <si>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</si>
  <si>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</si>
  <si>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</si>
  <si>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</si>
  <si>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</si>
  <si>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</si>
  <si>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</si>
  <si>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</si>
  <si>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</si>
  <si>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</si>
  <si>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</si>
  <si>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</si>
  <si>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</si>
  <si>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</si>
  <si>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</si>
  <si>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</si>
  <si>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</si>
  <si>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</si>
  <si>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</si>
  <si>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</si>
  <si>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</si>
  <si>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</si>
  <si>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</si>
  <si>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</si>
  <si>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</si>
  <si>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</si>
  <si>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</si>
  <si>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</si>
  <si>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</si>
  <si>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</si>
  <si>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</si>
  <si>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</si>
  <si>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</si>
  <si>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</si>
  <si>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</si>
  <si>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</si>
  <si>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</si>
  <si>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</si>
  <si>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</si>
  <si>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</si>
  <si>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</si>
  <si>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</si>
  <si>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</si>
  <si>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</si>
  <si>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</si>
  <si>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</si>
  <si>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</si>
  <si>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</si>
  <si>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</si>
  <si>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</si>
  <si>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</si>
  <si>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</si>
  <si>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</si>
  <si>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</si>
  <si>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</si>
  <si>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</si>
  <si>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</si>
  <si>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</si>
  <si>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</si>
  <si>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</si>
  <si>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</si>
  <si>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</si>
  <si>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</si>
  <si>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</si>
  <si>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</si>
  <si>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</si>
  <si>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</si>
  <si>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</si>
  <si>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</si>
  <si>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</si>
  <si>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</si>
  <si>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</si>
  <si>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</si>
  <si>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</si>
  <si>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</si>
  <si>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</si>
  <si>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</si>
  <si>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</si>
  <si>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</si>
  <si>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</si>
  <si>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</si>
  <si>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</si>
  <si>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</si>
  <si>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</si>
  <si>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</si>
  <si>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</si>
  <si>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</si>
  <si>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</si>
  <si>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</si>
  <si>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</si>
  <si>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</si>
  <si>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</si>
  <si>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</si>
  <si>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</si>
  <si>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</si>
  <si>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</si>
  <si>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</si>
  <si>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</si>
  <si>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</si>
  <si>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</si>
  <si>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</si>
  <si>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</si>
  <si>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</si>
  <si>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</si>
  <si>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</si>
  <si>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</si>
  <si>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</si>
  <si>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</si>
  <si>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</si>
  <si>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</si>
  <si>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</si>
  <si>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</si>
  <si>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</si>
  <si>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</si>
  <si>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</si>
  <si>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</si>
  <si>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</si>
  <si>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</si>
  <si>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</si>
  <si>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</si>
  <si>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</si>
  <si>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</si>
  <si>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</si>
  <si>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</si>
  <si>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</si>
  <si>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</si>
  <si>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</si>
  <si>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</si>
  <si>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</si>
  <si>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</si>
  <si>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</si>
  <si>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</si>
  <si>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</si>
  <si>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</si>
  <si>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</si>
  <si>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</si>
  <si>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</si>
  <si>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</si>
  <si>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</si>
  <si>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</si>
  <si>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</si>
  <si>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</si>
  <si>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</si>
  <si>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</si>
  <si>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</si>
  <si>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</si>
  <si>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</si>
  <si>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</si>
  <si>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</si>
  <si>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</si>
  <si>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</si>
  <si>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</si>
  <si>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</si>
  <si>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</si>
  <si>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</si>
  <si>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</si>
  <si>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</si>
  <si>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</si>
  <si>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</si>
  <si>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</si>
  <si>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</si>
  <si>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</si>
  <si>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</si>
  <si>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</si>
  <si>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</si>
  <si>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</si>
  <si>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</si>
  <si>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</si>
  <si>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</si>
  <si>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</si>
  <si>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</si>
  <si>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</si>
  <si>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</si>
  <si>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</si>
  <si>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</si>
  <si>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</si>
  <si>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</si>
  <si>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</si>
  <si>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</si>
  <si>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</si>
  <si>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</si>
  <si>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</si>
  <si>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</si>
  <si>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</si>
  <si>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</si>
  <si>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</si>
  <si>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</si>
  <si>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</si>
  <si>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</si>
  <si>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</si>
  <si>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</si>
  <si>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</si>
  <si>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</si>
  <si>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</si>
  <si>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</si>
  <si>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</si>
  <si>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</si>
  <si>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</si>
  <si>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</si>
  <si>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</si>
  <si>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</si>
  <si>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</si>
  <si>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</si>
  <si>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</si>
  <si>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</si>
  <si>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</si>
  <si>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</si>
  <si>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</si>
  <si>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</si>
  <si>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</si>
  <si>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</si>
  <si>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</si>
  <si>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</si>
  <si>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</si>
  <si>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</si>
  <si>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</si>
  <si>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</si>
  <si>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</si>
  <si>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</si>
  <si>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</si>
  <si>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</si>
  <si>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</si>
  <si>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</si>
  <si>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</si>
  <si>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</si>
  <si>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</si>
  <si>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</si>
  <si>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</si>
  <si>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</si>
  <si>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</si>
  <si>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</si>
  <si>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</si>
  <si>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</si>
  <si>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</si>
  <si>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</si>
  <si>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</si>
  <si>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</si>
  <si>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</si>
  <si>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</si>
  <si>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</si>
  <si>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</si>
  <si>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</si>
  <si>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</si>
  <si>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</si>
  <si>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</si>
  <si>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</si>
  <si>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</si>
  <si>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</si>
  <si>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</si>
  <si>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</si>
  <si>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</si>
  <si>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</si>
  <si>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</si>
  <si>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</si>
  <si>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</si>
  <si>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</si>
  <si>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</si>
  <si>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</si>
  <si>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</si>
  <si>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</si>
  <si>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</si>
  <si>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</si>
  <si>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</si>
  <si>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</si>
  <si>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</si>
  <si>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</si>
  <si>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</si>
  <si>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</si>
  <si>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</si>
  <si>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</si>
  <si>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</si>
  <si>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</si>
  <si>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</si>
  <si>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</si>
  <si>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</si>
  <si>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</si>
  <si>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</si>
  <si>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</si>
  <si>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</si>
  <si>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SMARTCAMPUS 360 — DATA ANALYSIS</t>
  </si>
  <si>
    <t>Total Students</t>
  </si>
  <si>
    <t>Average Attendance</t>
  </si>
  <si>
    <t>Average Academic Score</t>
  </si>
  <si>
    <t>Average Engagement Score</t>
  </si>
  <si>
    <t>Average Success Score</t>
  </si>
  <si>
    <t>High Risk Students</t>
  </si>
  <si>
    <t>Medium Risk Students</t>
  </si>
  <si>
    <t>low Risk Students</t>
  </si>
  <si>
    <t>SMARTCAMPUS 360 — STUDENT PERFORMANCE DASHBOARD</t>
  </si>
  <si>
    <t>Performance</t>
  </si>
  <si>
    <t>Average</t>
  </si>
  <si>
    <t>Avg Attendance</t>
  </si>
  <si>
    <t>Avg Academic Score</t>
  </si>
  <si>
    <t>Avg Engagement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</si>
</sst>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.5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5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9" fillId="0" borderId="0" xfId="0" applyFont="1"/>
    <xf numFmtId="0" fontId="20" fillId="0" borderId="0" xfId="0" applyFont="1" applyAlignment="1">
      <alignment wrapText="1"/>
    </xf>
    <xf numFmtId="0" fontId="0" fillId="0" borderId="0" xfId="0" applyNumberFormat="1"/>
    <xf numFmtId="0" fontId="19" fillId="0" borderId="0" xfId="0" applyFont="1" applyAlignment="1">
      <alignment wrapText="1"/>
    </xf>
    <xf numFmtId="0" fontId="20" fillId="0" borderId="0" xfId="0" applyNumberFormat="1" applyFont="1" applyAlignment="1">
      <alignment wrapText="1"/>
    </xf>
    <xf numFmtId="0" fontId="18" fillId="0" borderId="0" xfId="0" applyFont="1"/>
    <xf numFmtId="0" fontId="0" fillId="0" borderId="0" xfId="0" pivotButton="1"/>
    <xf numFmtId="2" fontId="21" fillId="0" borderId="0" xfId="0" applyNumberFormat="1" applyFont="1"/>
    <xf numFmtId="1" fontId="21" fillId="0" borderId="0" xfId="0" applyNumberFormat="1" applyFont="1"/>
    <xf numFmtId="164" fontId="0" fillId="0" borderId="0" xfId="0" applyNumberFormat="1"/>
    <xf numFmtId="2" fontId="0" fillId="0" borderId="0" xfId="0" applyNumberFormat="1"/>
    <xf numFmtId="0" fontId="23" fillId="0" borderId="0" xfId="0" applyFont="1"/>
    <xf numFmtId="0" fontId="19" fillId="34" borderId="0" xfId="0" applyFont="1" applyFill="1" applyAlignment="1">
      <alignment wrapText="1"/>
    </xf>
    <xf numFmtId="0" fontId="22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.5"/>
        <color rgb="FF000000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[Student_Performance_Teaching_Effectiveness-selected-columns.xlsx]Gender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Gender-wise Performance Analysis</a:t>
            </a:r>
          </a:p>
        </c:rich>
      </c:tx>
      <c:layout>
        <c:manualLayout>
          <c:xMode val="edge"/>
          <c:yMode val="edge"/>
          <c:x val="0.27043872091672133"/>
          <c:y val="2.3071424340186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Analysis'!$B$3</c:f>
              <c:strCache>
                <c:ptCount val="1"/>
                <c:pt idx="0">
                  <c:v>Average of Academic_Score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Analysis'!$A$4:$A$7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'Gender Analysis'!$B$4:$B$7</c:f>
              <c:numCache>
                <c:formatCode>General</c:formatCode>
                <c:ptCount val="3"/>
                <c:pt idx="0">
                  <c:v>48.744215859030831</c:v>
                </c:pt>
                <c:pt idx="1">
                  <c:v>49.041651785714294</c:v>
                </c:pt>
                <c:pt idx="2">
                  <c:v>47.073265306122458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6-49F5-82F1-30AF759EAC61}"/>
            </c:ext>
          </c:extLst>
        </c:ser>
        <c:ser>
          <c:idx val="1"/>
          <c:order val="1"/>
          <c:tx>
            <c:strRef>
              <c:f>'Gender Analysis'!$C$3</c:f>
              <c:strCache>
                <c:ptCount val="1"/>
                <c:pt idx="0">
                  <c:v>Average of Success_Score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'Gender Analysis'!$A$4:$A$7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'Gender Analysis'!$C$4:$C$7</c:f>
              <c:numCache>
                <c:formatCode>General</c:formatCode>
                <c:ptCount val="3"/>
                <c:pt idx="0">
                  <c:v>51.922001762114533</c:v>
                </c:pt>
                <c:pt idx="1">
                  <c:v>52.080130357142814</c:v>
                </c:pt>
                <c:pt idx="2">
                  <c:v>49.96932653061225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96-49F5-82F1-30AF759EAC61}"/>
            </c:ext>
          </c:extLst>
        </c:ser>
        <c:ser>
          <c:idx val="2"/>
          <c:order val="2"/>
          <c:tx>
            <c:strRef>
              <c:f>'Gender Analysis'!$D$3</c:f>
              <c:strCache>
                <c:ptCount val="1"/>
                <c:pt idx="0">
                  <c:v>Average of Attendance_Percentage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'Gender Analysis'!$A$4:$A$7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'Gender Analysis'!$D$4:$D$7</c:f>
              <c:numCache>
                <c:formatCode>General</c:formatCode>
                <c:ptCount val="3"/>
                <c:pt idx="0">
                  <c:v>75.269757709251067</c:v>
                </c:pt>
                <c:pt idx="1">
                  <c:v>74.335535714285626</c:v>
                </c:pt>
                <c:pt idx="2">
                  <c:v>75.848979591836738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96-49F5-82F1-30AF759EA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1904008"/>
        <c:axId val="1415827976"/>
      </c:barChart>
      <c:catAx>
        <c:axId val="1691904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827976"/>
        <c:crosses val="autoZero"/>
        <c:auto val="1"/>
        <c:lblAlgn val="ctr"/>
        <c:lblOffset val="100"/>
        <c:noMultiLvlLbl val="0"/>
      </c:catAx>
      <c:valAx>
        <c:axId val="141582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904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[Student_Performance_Teaching_Effectiveness-selected-columns.xlsx]Age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Age-wise Performance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Analysis'!$B$3</c:f>
              <c:strCache>
                <c:ptCount val="1"/>
                <c:pt idx="0">
                  <c:v>Average of Academic_Score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Analysis'!$A$4:$A$7</c:f>
              <c:strCache>
                <c:ptCount val="3"/>
                <c:pt idx="0">
                  <c:v>18-20</c:v>
                </c:pt>
                <c:pt idx="1">
                  <c:v>21-23</c:v>
                </c:pt>
                <c:pt idx="2">
                  <c:v>24-25</c:v>
                </c:pt>
              </c:strCache>
            </c:strRef>
          </c:cat>
          <c:val>
            <c:numRef>
              <c:f>'Age Analysis'!$B$4:$B$7</c:f>
              <c:numCache>
                <c:formatCode>0.000</c:formatCode>
                <c:ptCount val="3"/>
                <c:pt idx="0">
                  <c:v>48.165035812672187</c:v>
                </c:pt>
                <c:pt idx="1">
                  <c:v>48.799984375000044</c:v>
                </c:pt>
                <c:pt idx="2">
                  <c:v>49.370007905138344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1-489F-BD72-6C0DEC5E410A}"/>
            </c:ext>
          </c:extLst>
        </c:ser>
        <c:ser>
          <c:idx val="1"/>
          <c:order val="1"/>
          <c:tx>
            <c:strRef>
              <c:f>'Age Analysis'!$C$3</c:f>
              <c:strCache>
                <c:ptCount val="1"/>
                <c:pt idx="0">
                  <c:v>Average of Engagement_Score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Analysis'!$A$4:$A$7</c:f>
              <c:strCache>
                <c:ptCount val="3"/>
                <c:pt idx="0">
                  <c:v>18-20</c:v>
                </c:pt>
                <c:pt idx="1">
                  <c:v>21-23</c:v>
                </c:pt>
                <c:pt idx="2">
                  <c:v>24-25</c:v>
                </c:pt>
              </c:strCache>
            </c:strRef>
          </c:cat>
          <c:val>
            <c:numRef>
              <c:f>'Age Analysis'!$C$4:$C$7</c:f>
              <c:numCache>
                <c:formatCode>0.000</c:formatCode>
                <c:ptCount val="3"/>
                <c:pt idx="0">
                  <c:v>60.272011019283681</c:v>
                </c:pt>
                <c:pt idx="1">
                  <c:v>58.21054166666665</c:v>
                </c:pt>
                <c:pt idx="2">
                  <c:v>59.792837944664029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81-489F-BD72-6C0DEC5E410A}"/>
            </c:ext>
          </c:extLst>
        </c:ser>
        <c:ser>
          <c:idx val="2"/>
          <c:order val="2"/>
          <c:tx>
            <c:strRef>
              <c:f>'Age Analysis'!$D$3</c:f>
              <c:strCache>
                <c:ptCount val="1"/>
                <c:pt idx="0">
                  <c:v>Average of Success_Score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Analysis'!$A$4:$A$7</c:f>
              <c:strCache>
                <c:ptCount val="3"/>
                <c:pt idx="0">
                  <c:v>18-20</c:v>
                </c:pt>
                <c:pt idx="1">
                  <c:v>21-23</c:v>
                </c:pt>
                <c:pt idx="2">
                  <c:v>24-25</c:v>
                </c:pt>
              </c:strCache>
            </c:strRef>
          </c:cat>
          <c:val>
            <c:numRef>
              <c:f>'Age Analysis'!$D$4:$D$7</c:f>
              <c:numCache>
                <c:formatCode>0.000</c:formatCode>
                <c:ptCount val="3"/>
                <c:pt idx="0">
                  <c:v>51.993021487603308</c:v>
                </c:pt>
                <c:pt idx="1">
                  <c:v>51.553048958333356</c:v>
                </c:pt>
                <c:pt idx="2">
                  <c:v>51.903729644268793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81-489F-BD72-6C0DEC5E410A}"/>
            </c:ext>
          </c:extLst>
        </c:ser>
        <c:ser>
          <c:idx val="3"/>
          <c:order val="3"/>
          <c:tx>
            <c:strRef>
              <c:f>'Age Analysis'!$E$3</c:f>
              <c:strCache>
                <c:ptCount val="1"/>
                <c:pt idx="0">
                  <c:v>Average of Study_Hours_per_Week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Analysis'!$A$4:$A$7</c:f>
              <c:strCache>
                <c:ptCount val="3"/>
                <c:pt idx="0">
                  <c:v>18-20</c:v>
                </c:pt>
                <c:pt idx="1">
                  <c:v>21-23</c:v>
                </c:pt>
                <c:pt idx="2">
                  <c:v>24-25</c:v>
                </c:pt>
              </c:strCache>
            </c:strRef>
          </c:cat>
          <c:val>
            <c:numRef>
              <c:f>'Age Analysis'!$E$4:$E$7</c:f>
              <c:numCache>
                <c:formatCode>0.000</c:formatCode>
                <c:ptCount val="3"/>
                <c:pt idx="0">
                  <c:v>10.024793388429751</c:v>
                </c:pt>
                <c:pt idx="1">
                  <c:v>9.6197916666666661</c:v>
                </c:pt>
                <c:pt idx="2">
                  <c:v>8.687747035573123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81-489F-BD72-6C0DEC5E41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8550536"/>
        <c:axId val="1598552584"/>
      </c:barChart>
      <c:catAx>
        <c:axId val="1598550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52584"/>
        <c:crosses val="autoZero"/>
        <c:auto val="1"/>
        <c:lblAlgn val="ctr"/>
        <c:lblOffset val="100"/>
        <c:noMultiLvlLbl val="0"/>
      </c:catAx>
      <c:valAx>
        <c:axId val="159855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50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[Student_Performance_Teaching_Effectiveness-selected-columns.xlsx]Performance Matrix!PivotTable4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Category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'Performance Matrix'!$B$3</c:f>
              <c:strCache>
                <c:ptCount val="1"/>
                <c:pt idx="0">
                  <c:v>Average of Engagement_Score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'Performance Matrix'!$A$4:$A$8</c:f>
              <c:strCache>
                <c:ptCount val="4"/>
                <c:pt idx="0">
                  <c:v>Developing</c:v>
                </c:pt>
                <c:pt idx="1">
                  <c:v>Exceptional</c:v>
                </c:pt>
                <c:pt idx="2">
                  <c:v>Needs Improvement</c:v>
                </c:pt>
                <c:pt idx="3">
                  <c:v>Strong</c:v>
                </c:pt>
              </c:strCache>
            </c:strRef>
          </c:cat>
          <c:val>
            <c:numRef>
              <c:f>'Performance Matrix'!$B$4:$B$8</c:f>
              <c:numCache>
                <c:formatCode>0.00</c:formatCode>
                <c:ptCount val="4"/>
                <c:pt idx="0">
                  <c:v>61.505016077170374</c:v>
                </c:pt>
                <c:pt idx="1">
                  <c:v>72.162666666666667</c:v>
                </c:pt>
                <c:pt idx="2">
                  <c:v>57.402529510961195</c:v>
                </c:pt>
                <c:pt idx="3">
                  <c:v>64.246537634408611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0-4742-A312-FD2D57E61FF1}"/>
            </c:ext>
          </c:extLst>
        </c:ser>
        <c:ser>
          <c:idx val="1"/>
          <c:order val="1"/>
          <c:tx>
            <c:strRef>
              <c:f>'Performance Matrix'!$C$3</c:f>
              <c:strCache>
                <c:ptCount val="1"/>
                <c:pt idx="0">
                  <c:v>Average of Academic_Score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'Performance Matrix'!$A$4:$A$8</c:f>
              <c:strCache>
                <c:ptCount val="4"/>
                <c:pt idx="0">
                  <c:v>Developing</c:v>
                </c:pt>
                <c:pt idx="1">
                  <c:v>Exceptional</c:v>
                </c:pt>
                <c:pt idx="2">
                  <c:v>Needs Improvement</c:v>
                </c:pt>
                <c:pt idx="3">
                  <c:v>Strong</c:v>
                </c:pt>
              </c:strCache>
            </c:strRef>
          </c:cat>
          <c:val>
            <c:numRef>
              <c:f>'Performance Matrix'!$C$4:$C$8</c:f>
              <c:numCache>
                <c:formatCode>0.00</c:formatCode>
                <c:ptCount val="4"/>
                <c:pt idx="0">
                  <c:v>63.748147909967841</c:v>
                </c:pt>
                <c:pt idx="1">
                  <c:v>93.37266666666666</c:v>
                </c:pt>
                <c:pt idx="2">
                  <c:v>35.463406408094421</c:v>
                </c:pt>
                <c:pt idx="3">
                  <c:v>81.485182795698933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40-4742-A312-FD2D57E61FF1}"/>
            </c:ext>
          </c:extLst>
        </c:ser>
        <c:ser>
          <c:idx val="2"/>
          <c:order val="2"/>
          <c:tx>
            <c:strRef>
              <c:f>'Performance Matrix'!$D$3</c:f>
              <c:strCache>
                <c:ptCount val="1"/>
                <c:pt idx="0">
                  <c:v>Average of Success_Score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'Performance Matrix'!$A$4:$A$8</c:f>
              <c:strCache>
                <c:ptCount val="4"/>
                <c:pt idx="0">
                  <c:v>Developing</c:v>
                </c:pt>
                <c:pt idx="1">
                  <c:v>Exceptional</c:v>
                </c:pt>
                <c:pt idx="2">
                  <c:v>Needs Improvement</c:v>
                </c:pt>
                <c:pt idx="3">
                  <c:v>Strong</c:v>
                </c:pt>
              </c:strCache>
            </c:strRef>
          </c:cat>
          <c:val>
            <c:numRef>
              <c:f>'Performance Matrix'!$D$4:$D$8</c:f>
              <c:numCache>
                <c:formatCode>0.00</c:formatCode>
                <c:ptCount val="4"/>
                <c:pt idx="0">
                  <c:v>61.602322829582008</c:v>
                </c:pt>
                <c:pt idx="1">
                  <c:v>87.172399999999996</c:v>
                </c:pt>
                <c:pt idx="2">
                  <c:v>42.975193929173678</c:v>
                </c:pt>
                <c:pt idx="3">
                  <c:v>74.165070967741968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40-4742-A312-FD2D57E61FF1}"/>
            </c:ext>
          </c:extLst>
        </c:ser>
        <c:ser>
          <c:idx val="3"/>
          <c:order val="3"/>
          <c:tx>
            <c:strRef>
              <c:f>'Performance Matrix'!$E$3</c:f>
              <c:strCache>
                <c:ptCount val="1"/>
                <c:pt idx="0">
                  <c:v>Average of Study_Hours_per_Week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'Performance Matrix'!$A$4:$A$8</c:f>
              <c:strCache>
                <c:ptCount val="4"/>
                <c:pt idx="0">
                  <c:v>Developing</c:v>
                </c:pt>
                <c:pt idx="1">
                  <c:v>Exceptional</c:v>
                </c:pt>
                <c:pt idx="2">
                  <c:v>Needs Improvement</c:v>
                </c:pt>
                <c:pt idx="3">
                  <c:v>Strong</c:v>
                </c:pt>
              </c:strCache>
            </c:strRef>
          </c:cat>
          <c:val>
            <c:numRef>
              <c:f>'Performance Matrix'!$E$4:$E$8</c:f>
              <c:numCache>
                <c:formatCode>General</c:formatCode>
                <c:ptCount val="4"/>
                <c:pt idx="0">
                  <c:v>9.8038585209003219</c:v>
                </c:pt>
                <c:pt idx="1">
                  <c:v>19</c:v>
                </c:pt>
                <c:pt idx="2">
                  <c:v>8.9527824620573355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40-4742-A312-FD2D57E61F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1983111"/>
        <c:axId val="240795655"/>
      </c:barChart>
      <c:catAx>
        <c:axId val="231983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795655"/>
        <c:crosses val="autoZero"/>
        <c:auto val="1"/>
        <c:lblAlgn val="ctr"/>
        <c:lblOffset val="100"/>
        <c:noMultiLvlLbl val="0"/>
      </c:catAx>
      <c:valAx>
        <c:axId val="240795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83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Risk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29-46C8-9443-A6919ED4D3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29-46C8-9443-A6919ED4D3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29-46C8-9443-A6919ED4D3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Analysis!$A$8:$A$10</c:f>
              <c:strCache>
                <c:ptCount val="3"/>
                <c:pt idx="0">
                  <c:v>High Risk Students</c:v>
                </c:pt>
                <c:pt idx="1">
                  <c:v>Medium Risk Students</c:v>
                </c:pt>
                <c:pt idx="2">
                  <c:v>low Risk Students</c:v>
                </c:pt>
              </c:strCache>
            </c:strRef>
          </c:cat>
          <c:val>
            <c:numRef>
              <c:f>Analysis!$B$8:$B$10</c:f>
              <c:numCache>
                <c:formatCode>General</c:formatCode>
                <c:ptCount val="3"/>
                <c:pt idx="0">
                  <c:v>110</c:v>
                </c:pt>
                <c:pt idx="1">
                  <c:v>713</c:v>
                </c:pt>
                <c:pt idx="2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6-41CB-9E1F-1912207EF9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Risk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9C-4486-84FE-A10FD35D44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9C-4486-84FE-A10FD35D44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9C-4486-84FE-A10FD35D44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Analysis!$A$8:$A$10</c:f>
              <c:strCache>
                <c:ptCount val="3"/>
                <c:pt idx="0">
                  <c:v>High Risk Students</c:v>
                </c:pt>
                <c:pt idx="1">
                  <c:v>Medium Risk Students</c:v>
                </c:pt>
                <c:pt idx="2">
                  <c:v>low Risk Students</c:v>
                </c:pt>
              </c:strCache>
            </c:strRef>
          </c:cat>
          <c:val>
            <c:numRef>
              <c:f>Analysis!$B$8:$B$10</c:f>
              <c:numCache>
                <c:formatCode>General</c:formatCode>
                <c:ptCount val="3"/>
                <c:pt idx="0">
                  <c:v>110</c:v>
                </c:pt>
                <c:pt idx="1">
                  <c:v>713</c:v>
                </c:pt>
                <c:pt idx="2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9C-4486-84FE-A10FD35D44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[Student_Performance_Teaching_Effectiveness-selected-columns.xlsx]Gender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Gender-wise Performance Analysis</a:t>
            </a:r>
          </a:p>
        </c:rich>
      </c:tx>
      <c:layout>
        <c:manualLayout>
          <c:xMode val="edge"/>
          <c:yMode val="edge"/>
          <c:x val="0.27043872091672133"/>
          <c:y val="2.3071424340186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Analysis'!$B$3</c:f>
              <c:strCache>
                <c:ptCount val="1"/>
                <c:pt idx="0">
                  <c:v>Average of Academic_Score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Analysis'!$A$4:$A$7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'Gender Analysis'!$B$4:$B$7</c:f>
              <c:numCache>
                <c:formatCode>General</c:formatCode>
                <c:ptCount val="3"/>
                <c:pt idx="0">
                  <c:v>48.744215859030831</c:v>
                </c:pt>
                <c:pt idx="1">
                  <c:v>49.041651785714294</c:v>
                </c:pt>
                <c:pt idx="2">
                  <c:v>47.073265306122458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C-408E-82E1-B8BBF6A9A889}"/>
            </c:ext>
          </c:extLst>
        </c:ser>
        <c:ser>
          <c:idx val="1"/>
          <c:order val="1"/>
          <c:tx>
            <c:strRef>
              <c:f>'Gender Analysis'!$C$3</c:f>
              <c:strCache>
                <c:ptCount val="1"/>
                <c:pt idx="0">
                  <c:v>Average of Success_Score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'Gender Analysis'!$A$4:$A$7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'Gender Analysis'!$C$4:$C$7</c:f>
              <c:numCache>
                <c:formatCode>General</c:formatCode>
                <c:ptCount val="3"/>
                <c:pt idx="0">
                  <c:v>51.922001762114533</c:v>
                </c:pt>
                <c:pt idx="1">
                  <c:v>52.080130357142814</c:v>
                </c:pt>
                <c:pt idx="2">
                  <c:v>49.96932653061225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CC-408E-82E1-B8BBF6A9A889}"/>
            </c:ext>
          </c:extLst>
        </c:ser>
        <c:ser>
          <c:idx val="2"/>
          <c:order val="2"/>
          <c:tx>
            <c:strRef>
              <c:f>'Gender Analysis'!$D$3</c:f>
              <c:strCache>
                <c:ptCount val="1"/>
                <c:pt idx="0">
                  <c:v>Average of Attendance_Percentage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'Gender Analysis'!$A$4:$A$7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'Gender Analysis'!$D$4:$D$7</c:f>
              <c:numCache>
                <c:formatCode>General</c:formatCode>
                <c:ptCount val="3"/>
                <c:pt idx="0">
                  <c:v>75.269757709251067</c:v>
                </c:pt>
                <c:pt idx="1">
                  <c:v>74.335535714285626</c:v>
                </c:pt>
                <c:pt idx="2">
                  <c:v>75.848979591836738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CC-408E-82E1-B8BBF6A9A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1904008"/>
        <c:axId val="1415827976"/>
      </c:barChart>
      <c:catAx>
        <c:axId val="1691904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827976"/>
        <c:crosses val="autoZero"/>
        <c:auto val="1"/>
        <c:lblAlgn val="ctr"/>
        <c:lblOffset val="100"/>
        <c:noMultiLvlLbl val="0"/>
      </c:catAx>
      <c:valAx>
        <c:axId val="141582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904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[Student_Performance_Teaching_Effectiveness-selected-columns.xlsx]Performance Matrix!PivotTable4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Category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'Performance Matrix'!$B$3</c:f>
              <c:strCache>
                <c:ptCount val="1"/>
                <c:pt idx="0">
                  <c:v>Average of Engagement_Score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'Performance Matrix'!$A$4:$A$8</c:f>
              <c:strCache>
                <c:ptCount val="4"/>
                <c:pt idx="0">
                  <c:v>Developing</c:v>
                </c:pt>
                <c:pt idx="1">
                  <c:v>Exceptional</c:v>
                </c:pt>
                <c:pt idx="2">
                  <c:v>Needs Improvement</c:v>
                </c:pt>
                <c:pt idx="3">
                  <c:v>Strong</c:v>
                </c:pt>
              </c:strCache>
            </c:strRef>
          </c:cat>
          <c:val>
            <c:numRef>
              <c:f>'Performance Matrix'!$B$4:$B$8</c:f>
              <c:numCache>
                <c:formatCode>0.00</c:formatCode>
                <c:ptCount val="4"/>
                <c:pt idx="0">
                  <c:v>61.505016077170374</c:v>
                </c:pt>
                <c:pt idx="1">
                  <c:v>72.162666666666667</c:v>
                </c:pt>
                <c:pt idx="2">
                  <c:v>57.402529510961195</c:v>
                </c:pt>
                <c:pt idx="3">
                  <c:v>64.246537634408611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E-41B0-8816-B93E8F80D2D1}"/>
            </c:ext>
          </c:extLst>
        </c:ser>
        <c:ser>
          <c:idx val="1"/>
          <c:order val="1"/>
          <c:tx>
            <c:strRef>
              <c:f>'Performance Matrix'!$C$3</c:f>
              <c:strCache>
                <c:ptCount val="1"/>
                <c:pt idx="0">
                  <c:v>Average of Academic_Score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'Performance Matrix'!$A$4:$A$8</c:f>
              <c:strCache>
                <c:ptCount val="4"/>
                <c:pt idx="0">
                  <c:v>Developing</c:v>
                </c:pt>
                <c:pt idx="1">
                  <c:v>Exceptional</c:v>
                </c:pt>
                <c:pt idx="2">
                  <c:v>Needs Improvement</c:v>
                </c:pt>
                <c:pt idx="3">
                  <c:v>Strong</c:v>
                </c:pt>
              </c:strCache>
            </c:strRef>
          </c:cat>
          <c:val>
            <c:numRef>
              <c:f>'Performance Matrix'!$C$4:$C$8</c:f>
              <c:numCache>
                <c:formatCode>0.00</c:formatCode>
                <c:ptCount val="4"/>
                <c:pt idx="0">
                  <c:v>63.748147909967841</c:v>
                </c:pt>
                <c:pt idx="1">
                  <c:v>93.37266666666666</c:v>
                </c:pt>
                <c:pt idx="2">
                  <c:v>35.463406408094421</c:v>
                </c:pt>
                <c:pt idx="3">
                  <c:v>81.485182795698933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1E-41B0-8816-B93E8F80D2D1}"/>
            </c:ext>
          </c:extLst>
        </c:ser>
        <c:ser>
          <c:idx val="2"/>
          <c:order val="2"/>
          <c:tx>
            <c:strRef>
              <c:f>'Performance Matrix'!$D$3</c:f>
              <c:strCache>
                <c:ptCount val="1"/>
                <c:pt idx="0">
                  <c:v>Average of Success_Score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'Performance Matrix'!$A$4:$A$8</c:f>
              <c:strCache>
                <c:ptCount val="4"/>
                <c:pt idx="0">
                  <c:v>Developing</c:v>
                </c:pt>
                <c:pt idx="1">
                  <c:v>Exceptional</c:v>
                </c:pt>
                <c:pt idx="2">
                  <c:v>Needs Improvement</c:v>
                </c:pt>
                <c:pt idx="3">
                  <c:v>Strong</c:v>
                </c:pt>
              </c:strCache>
            </c:strRef>
          </c:cat>
          <c:val>
            <c:numRef>
              <c:f>'Performance Matrix'!$D$4:$D$8</c:f>
              <c:numCache>
                <c:formatCode>0.00</c:formatCode>
                <c:ptCount val="4"/>
                <c:pt idx="0">
                  <c:v>61.602322829582008</c:v>
                </c:pt>
                <c:pt idx="1">
                  <c:v>87.172399999999996</c:v>
                </c:pt>
                <c:pt idx="2">
                  <c:v>42.975193929173678</c:v>
                </c:pt>
                <c:pt idx="3">
                  <c:v>74.165070967741968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1E-41B0-8816-B93E8F80D2D1}"/>
            </c:ext>
          </c:extLst>
        </c:ser>
        <c:ser>
          <c:idx val="3"/>
          <c:order val="3"/>
          <c:tx>
            <c:strRef>
              <c:f>'Performance Matrix'!$E$3</c:f>
              <c:strCache>
                <c:ptCount val="1"/>
                <c:pt idx="0">
                  <c:v>Average of Study_Hours_per_Week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'Performance Matrix'!$A$4:$A$8</c:f>
              <c:strCache>
                <c:ptCount val="4"/>
                <c:pt idx="0">
                  <c:v>Developing</c:v>
                </c:pt>
                <c:pt idx="1">
                  <c:v>Exceptional</c:v>
                </c:pt>
                <c:pt idx="2">
                  <c:v>Needs Improvement</c:v>
                </c:pt>
                <c:pt idx="3">
                  <c:v>Strong</c:v>
                </c:pt>
              </c:strCache>
            </c:strRef>
          </c:cat>
          <c:val>
            <c:numRef>
              <c:f>'Performance Matrix'!$E$4:$E$8</c:f>
              <c:numCache>
                <c:formatCode>General</c:formatCode>
                <c:ptCount val="4"/>
                <c:pt idx="0">
                  <c:v>9.8038585209003219</c:v>
                </c:pt>
                <c:pt idx="1">
                  <c:v>19</c:v>
                </c:pt>
                <c:pt idx="2">
                  <c:v>8.9527824620573355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1E-41B0-8816-B93E8F80D2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1983111"/>
        <c:axId val="240795655"/>
      </c:barChart>
      <c:catAx>
        <c:axId val="231983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795655"/>
        <c:crosses val="autoZero"/>
        <c:auto val="1"/>
        <c:lblAlgn val="ctr"/>
        <c:lblOffset val="100"/>
        <c:noMultiLvlLbl val="0"/>
      </c:catAx>
      <c:valAx>
        <c:axId val="240795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83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[Student_Performance_Teaching_Effectiveness-selected-columns.xlsx]Age 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Age-wise Performance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Analysis'!$B$3</c:f>
              <c:strCache>
                <c:ptCount val="1"/>
                <c:pt idx="0">
                  <c:v>Average of Academic_Score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Analysis'!$A$4:$A$7</c:f>
              <c:strCache>
                <c:ptCount val="3"/>
                <c:pt idx="0">
                  <c:v>18-20</c:v>
                </c:pt>
                <c:pt idx="1">
                  <c:v>21-23</c:v>
                </c:pt>
                <c:pt idx="2">
                  <c:v>24-25</c:v>
                </c:pt>
              </c:strCache>
            </c:strRef>
          </c:cat>
          <c:val>
            <c:numRef>
              <c:f>'Age Analysis'!$B$4:$B$7</c:f>
              <c:numCache>
                <c:formatCode>0.000</c:formatCode>
                <c:ptCount val="3"/>
                <c:pt idx="0">
                  <c:v>48.165035812672187</c:v>
                </c:pt>
                <c:pt idx="1">
                  <c:v>48.799984375000044</c:v>
                </c:pt>
                <c:pt idx="2">
                  <c:v>49.370007905138344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F-4AF7-ADDF-D24C37FC5EFA}"/>
            </c:ext>
          </c:extLst>
        </c:ser>
        <c:ser>
          <c:idx val="1"/>
          <c:order val="1"/>
          <c:tx>
            <c:strRef>
              <c:f>'Age Analysis'!$C$3</c:f>
              <c:strCache>
                <c:ptCount val="1"/>
                <c:pt idx="0">
                  <c:v>Average of Engagement_Score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Analysis'!$A$4:$A$7</c:f>
              <c:strCache>
                <c:ptCount val="3"/>
                <c:pt idx="0">
                  <c:v>18-20</c:v>
                </c:pt>
                <c:pt idx="1">
                  <c:v>21-23</c:v>
                </c:pt>
                <c:pt idx="2">
                  <c:v>24-25</c:v>
                </c:pt>
              </c:strCache>
            </c:strRef>
          </c:cat>
          <c:val>
            <c:numRef>
              <c:f>'Age Analysis'!$C$4:$C$7</c:f>
              <c:numCache>
                <c:formatCode>0.000</c:formatCode>
                <c:ptCount val="3"/>
                <c:pt idx="0">
                  <c:v>60.272011019283681</c:v>
                </c:pt>
                <c:pt idx="1">
                  <c:v>58.21054166666665</c:v>
                </c:pt>
                <c:pt idx="2">
                  <c:v>59.792837944664029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1F-4AF7-ADDF-D24C37FC5EFA}"/>
            </c:ext>
          </c:extLst>
        </c:ser>
        <c:ser>
          <c:idx val="2"/>
          <c:order val="2"/>
          <c:tx>
            <c:strRef>
              <c:f>'Age Analysis'!$D$3</c:f>
              <c:strCache>
                <c:ptCount val="1"/>
                <c:pt idx="0">
                  <c:v>Average of Success_Score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Analysis'!$A$4:$A$7</c:f>
              <c:strCache>
                <c:ptCount val="3"/>
                <c:pt idx="0">
                  <c:v>18-20</c:v>
                </c:pt>
                <c:pt idx="1">
                  <c:v>21-23</c:v>
                </c:pt>
                <c:pt idx="2">
                  <c:v>24-25</c:v>
                </c:pt>
              </c:strCache>
            </c:strRef>
          </c:cat>
          <c:val>
            <c:numRef>
              <c:f>'Age Analysis'!$D$4:$D$7</c:f>
              <c:numCache>
                <c:formatCode>0.000</c:formatCode>
                <c:ptCount val="3"/>
                <c:pt idx="0">
                  <c:v>51.993021487603308</c:v>
                </c:pt>
                <c:pt idx="1">
                  <c:v>51.553048958333356</c:v>
                </c:pt>
                <c:pt idx="2">
                  <c:v>51.903729644268793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1F-4AF7-ADDF-D24C37FC5EFA}"/>
            </c:ext>
          </c:extLst>
        </c:ser>
        <c:ser>
          <c:idx val="3"/>
          <c:order val="3"/>
          <c:tx>
            <c:strRef>
              <c:f>'Age Analysis'!$E$3</c:f>
              <c:strCache>
                <c:ptCount val="1"/>
                <c:pt idx="0">
                  <c:v>Average of Study_Hours_per_Week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Analysis'!$A$4:$A$7</c:f>
              <c:strCache>
                <c:ptCount val="3"/>
                <c:pt idx="0">
                  <c:v>18-20</c:v>
                </c:pt>
                <c:pt idx="1">
                  <c:v>21-23</c:v>
                </c:pt>
                <c:pt idx="2">
                  <c:v>24-25</c:v>
                </c:pt>
              </c:strCache>
            </c:strRef>
          </c:cat>
          <c:val>
            <c:numRef>
              <c:f>'Age Analysis'!$E$4:$E$7</c:f>
              <c:numCache>
                <c:formatCode>0.000</c:formatCode>
                <c:ptCount val="3"/>
                <c:pt idx="0">
                  <c:v>10.024793388429751</c:v>
                </c:pt>
                <c:pt idx="1">
                  <c:v>9.6197916666666661</c:v>
                </c:pt>
                <c:pt idx="2">
                  <c:v>8.687747035573123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1F-4AF7-ADDF-D24C37FC5E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8550536"/>
        <c:axId val="1598552584"/>
      </c:barChart>
      <c:catAx>
        <c:axId val="1598550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52584"/>
        <c:crosses val="autoZero"/>
        <c:auto val="1"/>
        <c:lblAlgn val="ctr"/>
        <c:lblOffset val="100"/>
        <c:noMultiLvlLbl val="0"/>
      </c:catAx>
      <c:valAx>
        <c:axId val="159855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50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Student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Dashboard.!$A$4:$A$7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C0-41B6-90EF-B7EB1449D1A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Dashboard.!$B$4:$B$7</c:f>
              <c:numCache>
                <c:formatCode>0.00</c:formatCode>
                <c:ptCount val="4"/>
                <c:pt idx="0">
                  <c:v>74.907989999999913</c:v>
                </c:pt>
                <c:pt idx="1">
                  <c:v>48.713713999999989</c:v>
                </c:pt>
                <c:pt idx="2">
                  <c:v>59.359176000000055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C0-41B6-90EF-B7EB1449D1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9505288"/>
        <c:axId val="1497236488"/>
      </c:barChart>
      <c:catAx>
        <c:axId val="1529505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236488"/>
        <c:crosses val="autoZero"/>
        <c:auto val="1"/>
        <c:lblAlgn val="ctr"/>
        <c:lblOffset val="100"/>
        <c:noMultiLvlLbl val="0"/>
      </c:catAx>
      <c:valAx>
        <c:axId val="1497236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505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9525</xdr:rowOff>
    </xdr:from>
    <xdr:to>
      <xdr:col>3</xdr:col>
      <xdr:colOff>428625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735198-4F7C-59AC-6C2E-812E9CBE0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85725</xdr:rowOff>
    </xdr:from>
    <xdr:to>
      <xdr:col>3</xdr:col>
      <xdr:colOff>1019175</xdr:colOff>
      <xdr:row>21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2B919-FBAF-C650-472F-514AE7B00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8</xdr:row>
      <xdr:rowOff>171450</xdr:rowOff>
    </xdr:from>
    <xdr:to>
      <xdr:col>4</xdr:col>
      <xdr:colOff>1295400</xdr:colOff>
      <xdr:row>34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9DDFAB-F0CF-A5D7-72F7-C6731CC5D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10</xdr:row>
      <xdr:rowOff>104775</xdr:rowOff>
    </xdr:from>
    <xdr:to>
      <xdr:col>1</xdr:col>
      <xdr:colOff>2409825</xdr:colOff>
      <xdr:row>24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4246B-399C-F97E-9AA2-D0F93E5C3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76200</xdr:rowOff>
    </xdr:from>
    <xdr:to>
      <xdr:col>5</xdr:col>
      <xdr:colOff>371475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42F9FD-A471-43D4-8CE5-DA83CE131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600075</xdr:colOff>
      <xdr:row>6</xdr:row>
      <xdr:rowOff>76200</xdr:rowOff>
    </xdr:from>
    <xdr:to>
      <xdr:col>13</xdr:col>
      <xdr:colOff>304800</xdr:colOff>
      <xdr:row>20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591B39-5359-4A56-A51B-DE30721F5A24}"/>
            </a:ext>
            <a:ext uri="{147F2762-F138-4A5C-976F-8EAC2B608ADB}">
              <a16:predDERef xmlns:a16="http://schemas.microsoft.com/office/drawing/2014/main" pred="{3942F9FD-A471-43D4-8CE5-DA83CE131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12</xdr:col>
      <xdr:colOff>523875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6BE64F-B1E5-4113-A763-F2D2265C409E}"/>
            </a:ext>
            <a:ext uri="{147F2762-F138-4A5C-976F-8EAC2B608ADB}">
              <a16:predDERef xmlns:a16="http://schemas.microsoft.com/office/drawing/2014/main" pred="{F9591B39-5359-4A56-A51B-DE30721F5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571500</xdr:colOff>
      <xdr:row>6</xdr:row>
      <xdr:rowOff>85725</xdr:rowOff>
    </xdr:from>
    <xdr:to>
      <xdr:col>23</xdr:col>
      <xdr:colOff>171450</xdr:colOff>
      <xdr:row>20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26F217-D218-4DB1-9D6E-5FB714A8910A}"/>
            </a:ext>
            <a:ext uri="{147F2762-F138-4A5C-976F-8EAC2B608ADB}">
              <a16:predDERef xmlns:a16="http://schemas.microsoft.com/office/drawing/2014/main" pred="{8D6BE64F-B1E5-4113-A763-F2D2265C4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9525</xdr:colOff>
      <xdr:row>38</xdr:row>
      <xdr:rowOff>152400</xdr:rowOff>
    </xdr:from>
    <xdr:to>
      <xdr:col>8</xdr:col>
      <xdr:colOff>28575</xdr:colOff>
      <xdr:row>53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51520E-6376-F184-26E9-0A58D728CDA9}"/>
            </a:ext>
            <a:ext uri="{147F2762-F138-4A5C-976F-8EAC2B608ADB}">
              <a16:predDERef xmlns:a16="http://schemas.microsoft.com/office/drawing/2014/main" pred="{3326F217-D218-4DB1-9D6E-5FB714A89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1.606822800924" createdVersion="8" refreshedVersion="8" minRefreshableVersion="3" recordCount="1000" xr:uid="{2BCFED53-B4DB-4BE6-900B-31EA5078DF36}">
  <cacheSource type="worksheet">
    <worksheetSource name="StudentData"/>
  </cacheSource>
  <cacheFields count="16">
    <cacheField name="Student_ID" numFmtId="0">
      <sharedItems count="1000">
        <s v="S0001"/>
        <s v="S0002"/>
        <s v="S0003"/>
        <s v="S0004"/>
        <s v="S0005"/>
        <s v="S0006"/>
        <s v="S0007"/>
        <s v="S0008"/>
        <s v="S0009"/>
        <s v="S0010"/>
        <s v="S0011"/>
        <s v="S0012"/>
        <s v="S0013"/>
        <s v="S0014"/>
        <s v="S0015"/>
        <s v="S0016"/>
        <s v="S0017"/>
        <s v="S0018"/>
        <s v="S0019"/>
        <s v="S0020"/>
        <s v="S0021"/>
        <s v="S0022"/>
        <s v="S0023"/>
        <s v="S0024"/>
        <s v="S0025"/>
        <s v="S0026"/>
        <s v="S0027"/>
        <s v="S0028"/>
        <s v="S0029"/>
        <s v="S0030"/>
        <s v="S0031"/>
        <s v="S0032"/>
        <s v="S0033"/>
        <s v="S0034"/>
        <s v="S0035"/>
        <s v="S0036"/>
        <s v="S0037"/>
        <s v="S0038"/>
        <s v="S0039"/>
        <s v="S0040"/>
        <s v="S0041"/>
        <s v="S0042"/>
        <s v="S0043"/>
        <s v="S0044"/>
        <s v="S0045"/>
        <s v="S0046"/>
        <s v="S0047"/>
        <s v="S0048"/>
        <s v="S0049"/>
        <s v="S0050"/>
        <s v="S0051"/>
        <s v="S0052"/>
        <s v="S0053"/>
        <s v="S0054"/>
        <s v="S0055"/>
        <s v="S0056"/>
        <s v="S0057"/>
        <s v="S0058"/>
        <s v="S0059"/>
        <s v="S0060"/>
        <s v="S0061"/>
        <s v="S0062"/>
        <s v="S0063"/>
        <s v="S0064"/>
        <s v="S0065"/>
        <s v="S0066"/>
        <s v="S0067"/>
        <s v="S0068"/>
        <s v="S0069"/>
        <s v="S0070"/>
        <s v="S0071"/>
        <s v="S0072"/>
        <s v="S0073"/>
        <s v="S0074"/>
        <s v="S0075"/>
        <s v="S0076"/>
        <s v="S0077"/>
        <s v="S0078"/>
        <s v="S0079"/>
        <s v="S0080"/>
        <s v="S0081"/>
        <s v="S0082"/>
        <s v="S0083"/>
        <s v="S0084"/>
        <s v="S0085"/>
        <s v="S0086"/>
        <s v="S0087"/>
        <s v="S0088"/>
        <s v="S0089"/>
        <s v="S0090"/>
        <s v="S0091"/>
        <s v="S0092"/>
        <s v="S0093"/>
        <s v="S0094"/>
        <s v="S0095"/>
        <s v="S0096"/>
        <s v="S0097"/>
        <s v="S0098"/>
        <s v="S0099"/>
        <s v="S0100"/>
        <s v="S0101"/>
        <s v="S0102"/>
        <s v="S0103"/>
        <s v="S0104"/>
        <s v="S0105"/>
        <s v="S0106"/>
        <s v="S0107"/>
        <s v="S0108"/>
        <s v="S0109"/>
        <s v="S0110"/>
        <s v="S0111"/>
        <s v="S0112"/>
        <s v="S0113"/>
        <s v="S0114"/>
        <s v="S0115"/>
        <s v="S0116"/>
        <s v="S0117"/>
        <s v="S0118"/>
        <s v="S0119"/>
        <s v="S0120"/>
        <s v="S0121"/>
        <s v="S0122"/>
        <s v="S0123"/>
        <s v="S0124"/>
        <s v="S0125"/>
        <s v="S0126"/>
        <s v="S0127"/>
        <s v="S0128"/>
        <s v="S0129"/>
        <s v="S0130"/>
        <s v="S0131"/>
        <s v="S0132"/>
        <s v="S0133"/>
        <s v="S0134"/>
        <s v="S0135"/>
        <s v="S0136"/>
        <s v="S0137"/>
        <s v="S0138"/>
        <s v="S0139"/>
        <s v="S0140"/>
        <s v="S0141"/>
        <s v="S0142"/>
        <s v="S0143"/>
        <s v="S0144"/>
        <s v="S0145"/>
        <s v="S0146"/>
        <s v="S0147"/>
        <s v="S0148"/>
        <s v="S0149"/>
        <s v="S0150"/>
        <s v="S0151"/>
        <s v="S0152"/>
        <s v="S0153"/>
        <s v="S0154"/>
        <s v="S0155"/>
        <s v="S0156"/>
        <s v="S0157"/>
        <s v="S0158"/>
        <s v="S0159"/>
        <s v="S0160"/>
        <s v="S0161"/>
        <s v="S0162"/>
        <s v="S0163"/>
        <s v="S0164"/>
        <s v="S0165"/>
        <s v="S0166"/>
        <s v="S0167"/>
        <s v="S0168"/>
        <s v="S0169"/>
        <s v="S0170"/>
        <s v="S0171"/>
        <s v="S0172"/>
        <s v="S0173"/>
        <s v="S0174"/>
        <s v="S0175"/>
        <s v="S0176"/>
        <s v="S0177"/>
        <s v="S0178"/>
        <s v="S0179"/>
        <s v="S0180"/>
        <s v="S0181"/>
        <s v="S0182"/>
        <s v="S0183"/>
        <s v="S0184"/>
        <s v="S0185"/>
        <s v="S0186"/>
        <s v="S0187"/>
        <s v="S0188"/>
        <s v="S0189"/>
        <s v="S0190"/>
        <s v="S0191"/>
        <s v="S0192"/>
        <s v="S0193"/>
        <s v="S0194"/>
        <s v="S0195"/>
        <s v="S0196"/>
        <s v="S0197"/>
        <s v="S0198"/>
        <s v="S0199"/>
        <s v="S0200"/>
        <s v="S0201"/>
        <s v="S0202"/>
        <s v="S0203"/>
        <s v="S0204"/>
        <s v="S0205"/>
        <s v="S0206"/>
        <s v="S0207"/>
        <s v="S0208"/>
        <s v="S0209"/>
        <s v="S0210"/>
        <s v="S0211"/>
        <s v="S0212"/>
        <s v="S0213"/>
        <s v="S0214"/>
        <s v="S0215"/>
        <s v="S0216"/>
        <s v="S0217"/>
        <s v="S0218"/>
        <s v="S0219"/>
        <s v="S0220"/>
        <s v="S0221"/>
        <s v="S0222"/>
        <s v="S0223"/>
        <s v="S0224"/>
        <s v="S0225"/>
        <s v="S0226"/>
        <s v="S0227"/>
        <s v="S0228"/>
        <s v="S0229"/>
        <s v="S0230"/>
        <s v="S0231"/>
        <s v="S0232"/>
        <s v="S0233"/>
        <s v="S0234"/>
        <s v="S0235"/>
        <s v="S0236"/>
        <s v="S0237"/>
        <s v="S0238"/>
        <s v="S0239"/>
        <s v="S0240"/>
        <s v="S0241"/>
        <s v="S0242"/>
        <s v="S0243"/>
        <s v="S0244"/>
        <s v="S0245"/>
        <s v="S0246"/>
        <s v="S0247"/>
        <s v="S0248"/>
        <s v="S0249"/>
        <s v="S0250"/>
        <s v="S0251"/>
        <s v="S0252"/>
        <s v="S0253"/>
        <s v="S0254"/>
        <s v="S0255"/>
        <s v="S0256"/>
        <s v="S0257"/>
        <s v="S0258"/>
        <s v="S0259"/>
        <s v="S0260"/>
        <s v="S0261"/>
        <s v="S0262"/>
        <s v="S0263"/>
        <s v="S0264"/>
        <s v="S0265"/>
        <s v="S0266"/>
        <s v="S0267"/>
        <s v="S0268"/>
        <s v="S0269"/>
        <s v="S0270"/>
        <s v="S0271"/>
        <s v="S0272"/>
        <s v="S0273"/>
        <s v="S0274"/>
        <s v="S0275"/>
        <s v="S0276"/>
        <s v="S0277"/>
        <s v="S0278"/>
        <s v="S0279"/>
        <s v="S0280"/>
        <s v="S0281"/>
        <s v="S0282"/>
        <s v="S0283"/>
        <s v="S0284"/>
        <s v="S0285"/>
        <s v="S0286"/>
        <s v="S0287"/>
        <s v="S0288"/>
        <s v="S0289"/>
        <s v="S0290"/>
        <s v="S0291"/>
        <s v="S0292"/>
        <s v="S0293"/>
        <s v="S0294"/>
        <s v="S0295"/>
        <s v="S0296"/>
        <s v="S0297"/>
        <s v="S0298"/>
        <s v="S0299"/>
        <s v="S0300"/>
        <s v="S0301"/>
        <s v="S0302"/>
        <s v="S0303"/>
        <s v="S0304"/>
        <s v="S0305"/>
        <s v="S0306"/>
        <s v="S0307"/>
        <s v="S0308"/>
        <s v="S0309"/>
        <s v="S0310"/>
        <s v="S0311"/>
        <s v="S0312"/>
        <s v="S0313"/>
        <s v="S0314"/>
        <s v="S0315"/>
        <s v="S0316"/>
        <s v="S0317"/>
        <s v="S0318"/>
        <s v="S0319"/>
        <s v="S0320"/>
        <s v="S0321"/>
        <s v="S0322"/>
        <s v="S0323"/>
        <s v="S0324"/>
        <s v="S0325"/>
        <s v="S0326"/>
        <s v="S0327"/>
        <s v="S0328"/>
        <s v="S0329"/>
        <s v="S0330"/>
        <s v="S0331"/>
        <s v="S0332"/>
        <s v="S0333"/>
        <s v="S0334"/>
        <s v="S0335"/>
        <s v="S0336"/>
        <s v="S0337"/>
        <s v="S0338"/>
        <s v="S0339"/>
        <s v="S0340"/>
        <s v="S0341"/>
        <s v="S0342"/>
        <s v="S0343"/>
        <s v="S0344"/>
        <s v="S0345"/>
        <s v="S0346"/>
        <s v="S0347"/>
        <s v="S0348"/>
        <s v="S0349"/>
        <s v="S0350"/>
        <s v="S0351"/>
        <s v="S0352"/>
        <s v="S0353"/>
        <s v="S0354"/>
        <s v="S0355"/>
        <s v="S0356"/>
        <s v="S0357"/>
        <s v="S0358"/>
        <s v="S0359"/>
        <s v="S0360"/>
        <s v="S0361"/>
        <s v="S0362"/>
        <s v="S0363"/>
        <s v="S0364"/>
        <s v="S0365"/>
        <s v="S0366"/>
        <s v="S0367"/>
        <s v="S0368"/>
        <s v="S0369"/>
        <s v="S0370"/>
        <s v="S0371"/>
        <s v="S0372"/>
        <s v="S0373"/>
        <s v="S0374"/>
        <s v="S0375"/>
        <s v="S0376"/>
        <s v="S0377"/>
        <s v="S0378"/>
        <s v="S0379"/>
        <s v="S0380"/>
        <s v="S0381"/>
        <s v="S0382"/>
        <s v="S0383"/>
        <s v="S0384"/>
        <s v="S0385"/>
        <s v="S0386"/>
        <s v="S0387"/>
        <s v="S0388"/>
        <s v="S0389"/>
        <s v="S0390"/>
        <s v="S0391"/>
        <s v="S0392"/>
        <s v="S0393"/>
        <s v="S0394"/>
        <s v="S0395"/>
        <s v="S0396"/>
        <s v="S0397"/>
        <s v="S0398"/>
        <s v="S0399"/>
        <s v="S0400"/>
        <s v="S0401"/>
        <s v="S0402"/>
        <s v="S0403"/>
        <s v="S0404"/>
        <s v="S0405"/>
        <s v="S0406"/>
        <s v="S0407"/>
        <s v="S0408"/>
        <s v="S0409"/>
        <s v="S0410"/>
        <s v="S0411"/>
        <s v="S0412"/>
        <s v="S0413"/>
        <s v="S0414"/>
        <s v="S0415"/>
        <s v="S0416"/>
        <s v="S0417"/>
        <s v="S0418"/>
        <s v="S0419"/>
        <s v="S0420"/>
        <s v="S0421"/>
        <s v="S0422"/>
        <s v="S0423"/>
        <s v="S0424"/>
        <s v="S0425"/>
        <s v="S0426"/>
        <s v="S0427"/>
        <s v="S0428"/>
        <s v="S0429"/>
        <s v="S0430"/>
        <s v="S0431"/>
        <s v="S0432"/>
        <s v="S0433"/>
        <s v="S0434"/>
        <s v="S0435"/>
        <s v="S0436"/>
        <s v="S0437"/>
        <s v="S0438"/>
        <s v="S0439"/>
        <s v="S0440"/>
        <s v="S0441"/>
        <s v="S0442"/>
        <s v="S0443"/>
        <s v="S0444"/>
        <s v="S0445"/>
        <s v="S0446"/>
        <s v="S0447"/>
        <s v="S0448"/>
        <s v="S0449"/>
        <s v="S0450"/>
        <s v="S0451"/>
        <s v="S0452"/>
        <s v="S0453"/>
        <s v="S0454"/>
        <s v="S0455"/>
        <s v="S0456"/>
        <s v="S0457"/>
        <s v="S0458"/>
        <s v="S0459"/>
        <s v="S0460"/>
        <s v="S0461"/>
        <s v="S0462"/>
        <s v="S0463"/>
        <s v="S0464"/>
        <s v="S0465"/>
        <s v="S0466"/>
        <s v="S0467"/>
        <s v="S0468"/>
        <s v="S0469"/>
        <s v="S0470"/>
        <s v="S0471"/>
        <s v="S0472"/>
        <s v="S0473"/>
        <s v="S0474"/>
        <s v="S0475"/>
        <s v="S0476"/>
        <s v="S0477"/>
        <s v="S0478"/>
        <s v="S0479"/>
        <s v="S0480"/>
        <s v="S0481"/>
        <s v="S0482"/>
        <s v="S0483"/>
        <s v="S0484"/>
        <s v="S0485"/>
        <s v="S0486"/>
        <s v="S0487"/>
        <s v="S0488"/>
        <s v="S0489"/>
        <s v="S0490"/>
        <s v="S0491"/>
        <s v="S0492"/>
        <s v="S0493"/>
        <s v="S0494"/>
        <s v="S0495"/>
        <s v="S0496"/>
        <s v="S0497"/>
        <s v="S0498"/>
        <s v="S0499"/>
        <s v="S0500"/>
        <s v="S0501"/>
        <s v="S0502"/>
        <s v="S0503"/>
        <s v="S0504"/>
        <s v="S0505"/>
        <s v="S0506"/>
        <s v="S0507"/>
        <s v="S0508"/>
        <s v="S0509"/>
        <s v="S0510"/>
        <s v="S0511"/>
        <s v="S0512"/>
        <s v="S0513"/>
        <s v="S0514"/>
        <s v="S0515"/>
        <s v="S0516"/>
        <s v="S0517"/>
        <s v="S0518"/>
        <s v="S0519"/>
        <s v="S0520"/>
        <s v="S0521"/>
        <s v="S0522"/>
        <s v="S0523"/>
        <s v="S0524"/>
        <s v="S0525"/>
        <s v="S0526"/>
        <s v="S0527"/>
        <s v="S0528"/>
        <s v="S0529"/>
        <s v="S0530"/>
        <s v="S0531"/>
        <s v="S0532"/>
        <s v="S0533"/>
        <s v="S0534"/>
        <s v="S0535"/>
        <s v="S0536"/>
        <s v="S0537"/>
        <s v="S0538"/>
        <s v="S0539"/>
        <s v="S0540"/>
        <s v="S0541"/>
        <s v="S0542"/>
        <s v="S0543"/>
        <s v="S0544"/>
        <s v="S0545"/>
        <s v="S0546"/>
        <s v="S0547"/>
        <s v="S0548"/>
        <s v="S0549"/>
        <s v="S0550"/>
        <s v="S0551"/>
        <s v="S0552"/>
        <s v="S0553"/>
        <s v="S0554"/>
        <s v="S0555"/>
        <s v="S0556"/>
        <s v="S0557"/>
        <s v="S0558"/>
        <s v="S0559"/>
        <s v="S0560"/>
        <s v="S0561"/>
        <s v="S0562"/>
        <s v="S0563"/>
        <s v="S0564"/>
        <s v="S0565"/>
        <s v="S0566"/>
        <s v="S0567"/>
        <s v="S0568"/>
        <s v="S0569"/>
        <s v="S0570"/>
        <s v="S0571"/>
        <s v="S0572"/>
        <s v="S0573"/>
        <s v="S0574"/>
        <s v="S0575"/>
        <s v="S0576"/>
        <s v="S0577"/>
        <s v="S0578"/>
        <s v="S0579"/>
        <s v="S0580"/>
        <s v="S0581"/>
        <s v="S0582"/>
        <s v="S0583"/>
        <s v="S0584"/>
        <s v="S0585"/>
        <s v="S0586"/>
        <s v="S0587"/>
        <s v="S0588"/>
        <s v="S0589"/>
        <s v="S0590"/>
        <s v="S0591"/>
        <s v="S0592"/>
        <s v="S0593"/>
        <s v="S0594"/>
        <s v="S0595"/>
        <s v="S0596"/>
        <s v="S0597"/>
        <s v="S0598"/>
        <s v="S0599"/>
        <s v="S0600"/>
        <s v="S0601"/>
        <s v="S0602"/>
        <s v="S0603"/>
        <s v="S0604"/>
        <s v="S0605"/>
        <s v="S0606"/>
        <s v="S0607"/>
        <s v="S0608"/>
        <s v="S0609"/>
        <s v="S0610"/>
        <s v="S0611"/>
        <s v="S0612"/>
        <s v="S0613"/>
        <s v="S0614"/>
        <s v="S0615"/>
        <s v="S0616"/>
        <s v="S0617"/>
        <s v="S0618"/>
        <s v="S0619"/>
        <s v="S0620"/>
        <s v="S0621"/>
        <s v="S0622"/>
        <s v="S0623"/>
        <s v="S0624"/>
        <s v="S0625"/>
        <s v="S0626"/>
        <s v="S0627"/>
        <s v="S0628"/>
        <s v="S0629"/>
        <s v="S0630"/>
        <s v="S0631"/>
        <s v="S0632"/>
        <s v="S0633"/>
        <s v="S0634"/>
        <s v="S0635"/>
        <s v="S0636"/>
        <s v="S0637"/>
        <s v="S0638"/>
        <s v="S0639"/>
        <s v="S0640"/>
        <s v="S0641"/>
        <s v="S0642"/>
        <s v="S0643"/>
        <s v="S0644"/>
        <s v="S0645"/>
        <s v="S0646"/>
        <s v="S0647"/>
        <s v="S0648"/>
        <s v="S0649"/>
        <s v="S0650"/>
        <s v="S0651"/>
        <s v="S0652"/>
        <s v="S0653"/>
        <s v="S0654"/>
        <s v="S0655"/>
        <s v="S0656"/>
        <s v="S0657"/>
        <s v="S0658"/>
        <s v="S0659"/>
        <s v="S0660"/>
        <s v="S0661"/>
        <s v="S0662"/>
        <s v="S0663"/>
        <s v="S0664"/>
        <s v="S0665"/>
        <s v="S0666"/>
        <s v="S0667"/>
        <s v="S0668"/>
        <s v="S0669"/>
        <s v="S0670"/>
        <s v="S0671"/>
        <s v="S0672"/>
        <s v="S0673"/>
        <s v="S0674"/>
        <s v="S0675"/>
        <s v="S0676"/>
        <s v="S0677"/>
        <s v="S0678"/>
        <s v="S0679"/>
        <s v="S0680"/>
        <s v="S0681"/>
        <s v="S0682"/>
        <s v="S0683"/>
        <s v="S0684"/>
        <s v="S0685"/>
        <s v="S0686"/>
        <s v="S0687"/>
        <s v="S0688"/>
        <s v="S0689"/>
        <s v="S0690"/>
        <s v="S0691"/>
        <s v="S0692"/>
        <s v="S0693"/>
        <s v="S0694"/>
        <s v="S0695"/>
        <s v="S0696"/>
        <s v="S0697"/>
        <s v="S0698"/>
        <s v="S0699"/>
        <s v="S0700"/>
        <s v="S0701"/>
        <s v="S0702"/>
        <s v="S0703"/>
        <s v="S0704"/>
        <s v="S0705"/>
        <s v="S0706"/>
        <s v="S0707"/>
        <s v="S0708"/>
        <s v="S0709"/>
        <s v="S0710"/>
        <s v="S0711"/>
        <s v="S0712"/>
        <s v="S0713"/>
        <s v="S0714"/>
        <s v="S0715"/>
        <s v="S0716"/>
        <s v="S0717"/>
        <s v="S0718"/>
        <s v="S0719"/>
        <s v="S0720"/>
        <s v="S0721"/>
        <s v="S0722"/>
        <s v="S0723"/>
        <s v="S0724"/>
        <s v="S0725"/>
        <s v="S0726"/>
        <s v="S0727"/>
        <s v="S0728"/>
        <s v="S0729"/>
        <s v="S0730"/>
        <s v="S0731"/>
        <s v="S0732"/>
        <s v="S0733"/>
        <s v="S0734"/>
        <s v="S0735"/>
        <s v="S0736"/>
        <s v="S0737"/>
        <s v="S0738"/>
        <s v="S0739"/>
        <s v="S0740"/>
        <s v="S0741"/>
        <s v="S0742"/>
        <s v="S0743"/>
        <s v="S0744"/>
        <s v="S0745"/>
        <s v="S0746"/>
        <s v="S0747"/>
        <s v="S0748"/>
        <s v="S0749"/>
        <s v="S0750"/>
        <s v="S0751"/>
        <s v="S0752"/>
        <s v="S0753"/>
        <s v="S0754"/>
        <s v="S0755"/>
        <s v="S0756"/>
        <s v="S0757"/>
        <s v="S0758"/>
        <s v="S0759"/>
        <s v="S0760"/>
        <s v="S0761"/>
        <s v="S0762"/>
        <s v="S0763"/>
        <s v="S0764"/>
        <s v="S0765"/>
        <s v="S0766"/>
        <s v="S0767"/>
        <s v="S0768"/>
        <s v="S0769"/>
        <s v="S0770"/>
        <s v="S0771"/>
        <s v="S0772"/>
        <s v="S0773"/>
        <s v="S0774"/>
        <s v="S0775"/>
        <s v="S0776"/>
        <s v="S0777"/>
        <s v="S0778"/>
        <s v="S0779"/>
        <s v="S0780"/>
        <s v="S0781"/>
        <s v="S0782"/>
        <s v="S0783"/>
        <s v="S0784"/>
        <s v="S0785"/>
        <s v="S0786"/>
        <s v="S0787"/>
        <s v="S0788"/>
        <s v="S0789"/>
        <s v="S0790"/>
        <s v="S0791"/>
        <s v="S0792"/>
        <s v="S0793"/>
        <s v="S0794"/>
        <s v="S0795"/>
        <s v="S0796"/>
        <s v="S0797"/>
        <s v="S0798"/>
        <s v="S0799"/>
        <s v="S0800"/>
        <s v="S0801"/>
        <s v="S0802"/>
        <s v="S0803"/>
        <s v="S0804"/>
        <s v="S0805"/>
        <s v="S0806"/>
        <s v="S0807"/>
        <s v="S0808"/>
        <s v="S0809"/>
        <s v="S0810"/>
        <s v="S0811"/>
        <s v="S0812"/>
        <s v="S0813"/>
        <s v="S0814"/>
        <s v="S0815"/>
        <s v="S0816"/>
        <s v="S0817"/>
        <s v="S0818"/>
        <s v="S0819"/>
        <s v="S0820"/>
        <s v="S0821"/>
        <s v="S0822"/>
        <s v="S0823"/>
        <s v="S0824"/>
        <s v="S0825"/>
        <s v="S0826"/>
        <s v="S0827"/>
        <s v="S0828"/>
        <s v="S0829"/>
        <s v="S0830"/>
        <s v="S0831"/>
        <s v="S0832"/>
        <s v="S0833"/>
        <s v="S0834"/>
        <s v="S0835"/>
        <s v="S0836"/>
        <s v="S0837"/>
        <s v="S0838"/>
        <s v="S0839"/>
        <s v="S0840"/>
        <s v="S0841"/>
        <s v="S0842"/>
        <s v="S0843"/>
        <s v="S0844"/>
        <s v="S0845"/>
        <s v="S0846"/>
        <s v="S0847"/>
        <s v="S0848"/>
        <s v="S0849"/>
        <s v="S0850"/>
        <s v="S0851"/>
        <s v="S0852"/>
        <s v="S0853"/>
        <s v="S0854"/>
        <s v="S0855"/>
        <s v="S0856"/>
        <s v="S0857"/>
        <s v="S0858"/>
        <s v="S0859"/>
        <s v="S0860"/>
        <s v="S0861"/>
        <s v="S0862"/>
        <s v="S0863"/>
        <s v="S0864"/>
        <s v="S0865"/>
        <s v="S0866"/>
        <s v="S0867"/>
        <s v="S0868"/>
        <s v="S0869"/>
        <s v="S0870"/>
        <s v="S0871"/>
        <s v="S0872"/>
        <s v="S0873"/>
        <s v="S0874"/>
        <s v="S0875"/>
        <s v="S0876"/>
        <s v="S0877"/>
        <s v="S0878"/>
        <s v="S0879"/>
        <s v="S0880"/>
        <s v="S0881"/>
        <s v="S0882"/>
        <s v="S0883"/>
        <s v="S0884"/>
        <s v="S0885"/>
        <s v="S0886"/>
        <s v="S0887"/>
        <s v="S0888"/>
        <s v="S0889"/>
        <s v="S0890"/>
        <s v="S0891"/>
        <s v="S0892"/>
        <s v="S0893"/>
        <s v="S0894"/>
        <s v="S0895"/>
        <s v="S0896"/>
        <s v="S0897"/>
        <s v="S0898"/>
        <s v="S0899"/>
        <s v="S0900"/>
        <s v="S0901"/>
        <s v="S0902"/>
        <s v="S0903"/>
        <s v="S0904"/>
        <s v="S0905"/>
        <s v="S0906"/>
        <s v="S0907"/>
        <s v="S0908"/>
        <s v="S0909"/>
        <s v="S0910"/>
        <s v="S0911"/>
        <s v="S0912"/>
        <s v="S0913"/>
        <s v="S0914"/>
        <s v="S0915"/>
        <s v="S0916"/>
        <s v="S0917"/>
        <s v="S0918"/>
        <s v="S0919"/>
        <s v="S0920"/>
        <s v="S0921"/>
        <s v="S0922"/>
        <s v="S0923"/>
        <s v="S0924"/>
        <s v="S0925"/>
        <s v="S0926"/>
        <s v="S0927"/>
        <s v="S0928"/>
        <s v="S0929"/>
        <s v="S0930"/>
        <s v="S0931"/>
        <s v="S0932"/>
        <s v="S0933"/>
        <s v="S0934"/>
        <s v="S0935"/>
        <s v="S0936"/>
        <s v="S0937"/>
        <s v="S0938"/>
        <s v="S0939"/>
        <s v="S0940"/>
        <s v="S0941"/>
        <s v="S0942"/>
        <s v="S0943"/>
        <s v="S0944"/>
        <s v="S0945"/>
        <s v="S0946"/>
        <s v="S0947"/>
        <s v="S0948"/>
        <s v="S0949"/>
        <s v="S0950"/>
        <s v="S0951"/>
        <s v="S0952"/>
        <s v="S0953"/>
        <s v="S0954"/>
        <s v="S0955"/>
        <s v="S0956"/>
        <s v="S0957"/>
        <s v="S0958"/>
        <s v="S0959"/>
        <s v="S0960"/>
        <s v="S0961"/>
        <s v="S0962"/>
        <s v="S0963"/>
        <s v="S0964"/>
        <s v="S0965"/>
        <s v="S0966"/>
        <s v="S0967"/>
        <s v="S0968"/>
        <s v="S0969"/>
        <s v="S0970"/>
        <s v="S0971"/>
        <s v="S0972"/>
        <s v="S0973"/>
        <s v="S0974"/>
        <s v="S0975"/>
        <s v="S0976"/>
        <s v="S0977"/>
        <s v="S0978"/>
        <s v="S0979"/>
        <s v="S0980"/>
        <s v="S0981"/>
        <s v="S0982"/>
        <s v="S0983"/>
        <s v="S0984"/>
        <s v="S0985"/>
        <s v="S0986"/>
        <s v="S0987"/>
        <s v="S0988"/>
        <s v="S0989"/>
        <s v="S0990"/>
        <s v="S0991"/>
        <s v="S0992"/>
        <s v="S0993"/>
        <s v="S0994"/>
        <s v="S0995"/>
        <s v="S0996"/>
        <s v="S0997"/>
        <s v="S0998"/>
        <s v="S0999"/>
        <s v="S1000"/>
      </sharedItems>
    </cacheField>
    <cacheField name="Age" numFmtId="0">
      <sharedItems containsSemiMixedTypes="0" containsString="0" containsNumber="1" containsInteger="1" minValue="18" maxValue="25" count="8">
        <n v="24"/>
        <n v="21"/>
        <n v="22"/>
        <n v="20"/>
        <n v="25"/>
        <n v="19"/>
        <n v="23"/>
        <n v="18"/>
      </sharedItems>
    </cacheField>
    <cacheField name="Gender" numFmtId="0">
      <sharedItems count="3">
        <s v="Female"/>
        <s v="Male"/>
        <s v="Other"/>
      </sharedItems>
    </cacheField>
    <cacheField name="Attendance_Percentage" numFmtId="0">
      <sharedItems containsSemiMixedTypes="0" containsString="0" containsNumber="1" minValue="50.08" maxValue="99.92"/>
    </cacheField>
    <cacheField name="Assignments_Completed" numFmtId="0">
      <sharedItems containsSemiMixedTypes="0" containsString="0" containsNumber="1" containsInteger="1" minValue="0" maxValue="10"/>
    </cacheField>
    <cacheField name="Class_Participation" numFmtId="0">
      <sharedItems containsSemiMixedTypes="0" containsString="0" containsNumber="1" minValue="0.01" maxValue="9.98"/>
    </cacheField>
    <cacheField name="Midterm_Grade" numFmtId="0">
      <sharedItems containsSemiMixedTypes="0" containsString="0" containsNumber="1" minValue="0.02" maxValue="99.75"/>
    </cacheField>
    <cacheField name="Final_Grade" numFmtId="0">
      <sharedItems containsSemiMixedTypes="0" containsString="0" containsNumber="1" minValue="0.06" maxValue="99.98"/>
    </cacheField>
    <cacheField name="Study_Hours_per_Week" numFmtId="0">
      <sharedItems containsSemiMixedTypes="0" containsString="0" containsNumber="1" containsInteger="1" minValue="0" maxValue="19"/>
    </cacheField>
    <cacheField name="Projects_Submitted" numFmtId="0">
      <sharedItems containsSemiMixedTypes="0" containsString="0" containsNumber="1" containsInteger="1" minValue="0" maxValue="5"/>
    </cacheField>
    <cacheField name="Academic_Score" numFmtId="0">
      <sharedItems containsSemiMixedTypes="0" containsString="0" containsNumber="1" minValue="2.0640000000000001" maxValue="96.95"/>
    </cacheField>
    <cacheField name="Engagement_Score" numFmtId="0">
      <sharedItems containsSemiMixedTypes="0" containsString="0" containsNumber="1" minValue="24.856000000000002" maxValue="93.328000000000003"/>
    </cacheField>
    <cacheField name="Success_Score" numFmtId="0">
      <sharedItems containsSemiMixedTypes="0" containsString="0" containsNumber="1" minValue="19.186799999999998" maxValue="88.073599999999999"/>
    </cacheField>
    <cacheField name="Performance_Category" numFmtId="0">
      <sharedItems count="4">
        <s v="Needs Improvement"/>
        <s v="Developing"/>
        <s v="Strong"/>
        <s v="Exceptional"/>
      </sharedItems>
    </cacheField>
    <cacheField name="Risk_Level" numFmtId="0">
      <sharedItems count="3">
        <s v="Medium Risk"/>
        <s v="High Risk"/>
        <s v="Low Risk"/>
      </sharedItems>
    </cacheField>
    <cacheField name="Age_Group" numFmtId="0">
      <sharedItems count="3">
        <s v="24-25"/>
        <s v="21-23"/>
        <s v="18-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n v="75.95"/>
    <n v="2"/>
    <n v="7.94"/>
    <n v="52.36"/>
    <n v="33.880000000000003"/>
    <n v="9"/>
    <n v="1"/>
    <n v="41.272000000000006"/>
    <n v="54.260000000000005"/>
    <n v="45.541200000000003"/>
    <x v="0"/>
    <x v="0"/>
    <x v="0"/>
  </r>
  <r>
    <x v="1"/>
    <x v="1"/>
    <x v="0"/>
    <n v="73.959999999999994"/>
    <n v="3"/>
    <n v="8.84"/>
    <n v="28.23"/>
    <n v="40.51"/>
    <n v="2"/>
    <n v="5"/>
    <n v="35.597999999999999"/>
    <n v="73.26400000000001"/>
    <n v="44.338000000000001"/>
    <x v="0"/>
    <x v="0"/>
    <x v="1"/>
  </r>
  <r>
    <x v="2"/>
    <x v="2"/>
    <x v="1"/>
    <n v="51.28"/>
    <n v="6"/>
    <n v="3.45"/>
    <n v="29.81"/>
    <n v="23.9"/>
    <n v="19"/>
    <n v="3"/>
    <n v="26.263999999999996"/>
    <n v="51.411999999999999"/>
    <n v="40.681999999999995"/>
    <x v="0"/>
    <x v="1"/>
    <x v="1"/>
  </r>
  <r>
    <x v="3"/>
    <x v="0"/>
    <x v="0"/>
    <n v="67.06"/>
    <n v="2"/>
    <n v="4.62"/>
    <n v="27.78"/>
    <n v="62.89"/>
    <n v="9"/>
    <n v="0"/>
    <n v="48.846000000000004"/>
    <n v="40.064"/>
    <n v="45.826799999999999"/>
    <x v="0"/>
    <x v="0"/>
    <x v="0"/>
  </r>
  <r>
    <x v="4"/>
    <x v="3"/>
    <x v="0"/>
    <n v="69.010000000000005"/>
    <n v="8"/>
    <n v="4.1500000000000004"/>
    <n v="77.150000000000006"/>
    <n v="64.040000000000006"/>
    <n v="17"/>
    <n v="0"/>
    <n v="69.284000000000006"/>
    <n v="51.903999999999996"/>
    <n v="65.641599999999997"/>
    <x v="1"/>
    <x v="0"/>
    <x v="2"/>
  </r>
  <r>
    <x v="5"/>
    <x v="4"/>
    <x v="1"/>
    <n v="69.94"/>
    <n v="7"/>
    <n v="0.13"/>
    <n v="65.19"/>
    <n v="85.05"/>
    <n v="13"/>
    <n v="5"/>
    <n v="77.105999999999995"/>
    <n v="62.235999999999997"/>
    <n v="71.434399999999997"/>
    <x v="2"/>
    <x v="0"/>
    <x v="0"/>
  </r>
  <r>
    <x v="6"/>
    <x v="2"/>
    <x v="2"/>
    <n v="79.010000000000005"/>
    <n v="3"/>
    <n v="2.96"/>
    <n v="83.24"/>
    <n v="74.09"/>
    <n v="17"/>
    <n v="0"/>
    <n v="77.75"/>
    <n v="43.524000000000001"/>
    <n v="68.2072"/>
    <x v="1"/>
    <x v="2"/>
    <x v="1"/>
  </r>
  <r>
    <x v="7"/>
    <x v="2"/>
    <x v="0"/>
    <n v="76.680000000000007"/>
    <n v="0"/>
    <n v="4.59"/>
    <n v="97.55"/>
    <n v="54.26"/>
    <n v="7"/>
    <n v="1"/>
    <n v="71.575999999999993"/>
    <n v="43.852000000000004"/>
    <n v="59.601199999999992"/>
    <x v="1"/>
    <x v="2"/>
    <x v="1"/>
  </r>
  <r>
    <x v="8"/>
    <x v="0"/>
    <x v="2"/>
    <n v="80.400000000000006"/>
    <n v="0"/>
    <n v="4.1100000000000003"/>
    <n v="47.42"/>
    <n v="65.36"/>
    <n v="9"/>
    <n v="0"/>
    <n v="58.183999999999997"/>
    <n v="40.380000000000003"/>
    <n v="51.5244"/>
    <x v="0"/>
    <x v="0"/>
    <x v="0"/>
  </r>
  <r>
    <x v="9"/>
    <x v="5"/>
    <x v="0"/>
    <n v="88.24"/>
    <n v="0"/>
    <n v="7.22"/>
    <n v="6.67"/>
    <n v="27.4"/>
    <n v="12"/>
    <n v="4"/>
    <n v="19.107999999999997"/>
    <n v="65.73599999999999"/>
    <n v="37.185599999999994"/>
    <x v="0"/>
    <x v="0"/>
    <x v="2"/>
  </r>
  <r>
    <x v="10"/>
    <x v="3"/>
    <x v="0"/>
    <n v="90.65"/>
    <n v="0"/>
    <n v="3.85"/>
    <n v="4.8099999999999996"/>
    <n v="59.31"/>
    <n v="7"/>
    <n v="4"/>
    <n v="37.51"/>
    <n v="59.960000000000008"/>
    <n v="43.994"/>
    <x v="0"/>
    <x v="0"/>
    <x v="2"/>
  </r>
  <r>
    <x v="11"/>
    <x v="0"/>
    <x v="1"/>
    <n v="85.91"/>
    <n v="7"/>
    <n v="4.8899999999999997"/>
    <n v="29.57"/>
    <n v="48.92"/>
    <n v="3"/>
    <n v="0"/>
    <n v="41.18"/>
    <n v="58.143999999999998"/>
    <n v="43.651199999999996"/>
    <x v="0"/>
    <x v="0"/>
    <x v="0"/>
  </r>
  <r>
    <x v="12"/>
    <x v="3"/>
    <x v="2"/>
    <n v="97.78"/>
    <n v="2"/>
    <n v="4.3"/>
    <n v="93.25"/>
    <n v="13.33"/>
    <n v="3"/>
    <n v="5"/>
    <n v="45.298000000000002"/>
    <n v="71.712000000000003"/>
    <n v="50.192399999999999"/>
    <x v="0"/>
    <x v="0"/>
    <x v="2"/>
  </r>
  <r>
    <x v="13"/>
    <x v="3"/>
    <x v="0"/>
    <n v="50.91"/>
    <n v="5"/>
    <n v="7.41"/>
    <n v="52.32"/>
    <n v="24.25"/>
    <n v="4"/>
    <n v="4"/>
    <n v="35.478000000000002"/>
    <n v="61.183999999999997"/>
    <n v="41.641999999999996"/>
    <x v="0"/>
    <x v="1"/>
    <x v="2"/>
  </r>
  <r>
    <x v="14"/>
    <x v="4"/>
    <x v="1"/>
    <n v="59.79"/>
    <n v="2"/>
    <n v="8.6300000000000008"/>
    <n v="27.18"/>
    <n v="29.17"/>
    <n v="0"/>
    <n v="3"/>
    <n v="28.373999999999999"/>
    <n v="57.176000000000002"/>
    <n v="34.177199999999999"/>
    <x v="0"/>
    <x v="1"/>
    <x v="0"/>
  </r>
  <r>
    <x v="15"/>
    <x v="2"/>
    <x v="1"/>
    <n v="50.38"/>
    <n v="10"/>
    <n v="5.32"/>
    <n v="39.92"/>
    <n v="92.43"/>
    <n v="16"/>
    <n v="4"/>
    <n v="71.426000000000002"/>
    <n v="66.792000000000002"/>
    <n v="70.893200000000007"/>
    <x v="2"/>
    <x v="0"/>
    <x v="1"/>
  </r>
  <r>
    <x v="16"/>
    <x v="1"/>
    <x v="1"/>
    <n v="82.37"/>
    <n v="4"/>
    <n v="7.89"/>
    <n v="59.86"/>
    <n v="23.04"/>
    <n v="1"/>
    <n v="0"/>
    <n v="37.768000000000001"/>
    <n v="56.728000000000002"/>
    <n v="40.179199999999994"/>
    <x v="0"/>
    <x v="0"/>
    <x v="1"/>
  </r>
  <r>
    <x v="17"/>
    <x v="4"/>
    <x v="0"/>
    <n v="94.9"/>
    <n v="6"/>
    <n v="2.97"/>
    <n v="65.290000000000006"/>
    <n v="28.92"/>
    <n v="7"/>
    <n v="5"/>
    <n v="43.468000000000004"/>
    <n v="75.900000000000006"/>
    <n v="52.3508"/>
    <x v="0"/>
    <x v="0"/>
    <x v="0"/>
  </r>
  <r>
    <x v="18"/>
    <x v="4"/>
    <x v="2"/>
    <n v="62.17"/>
    <n v="1"/>
    <n v="5.41"/>
    <n v="15.39"/>
    <n v="36.94"/>
    <n v="6"/>
    <n v="2"/>
    <n v="28.32"/>
    <n v="45.688000000000002"/>
    <n v="33.698399999999999"/>
    <x v="0"/>
    <x v="0"/>
    <x v="0"/>
  </r>
  <r>
    <x v="19"/>
    <x v="3"/>
    <x v="1"/>
    <n v="96.35"/>
    <n v="5"/>
    <n v="3.45"/>
    <n v="97.7"/>
    <n v="66.37"/>
    <n v="14"/>
    <n v="5"/>
    <n v="78.902000000000015"/>
    <n v="75.44"/>
    <n v="76.973200000000006"/>
    <x v="2"/>
    <x v="2"/>
    <x v="2"/>
  </r>
  <r>
    <x v="20"/>
    <x v="6"/>
    <x v="0"/>
    <n v="53.01"/>
    <n v="5"/>
    <n v="4.1399999999999997"/>
    <n v="54.48"/>
    <n v="11.82"/>
    <n v="4"/>
    <n v="5"/>
    <n v="28.884"/>
    <n v="59.484000000000002"/>
    <n v="37.175600000000003"/>
    <x v="0"/>
    <x v="1"/>
    <x v="1"/>
  </r>
  <r>
    <x v="21"/>
    <x v="2"/>
    <x v="1"/>
    <n v="96.72"/>
    <n v="10"/>
    <n v="7.32"/>
    <n v="13.57"/>
    <n v="95.39"/>
    <n v="1"/>
    <n v="5"/>
    <n v="62.662000000000006"/>
    <n v="93.328000000000003"/>
    <n v="66.095600000000005"/>
    <x v="1"/>
    <x v="2"/>
    <x v="1"/>
  </r>
  <r>
    <x v="22"/>
    <x v="5"/>
    <x v="2"/>
    <n v="67.58"/>
    <n v="2"/>
    <n v="8.82"/>
    <n v="89.36"/>
    <n v="86.56"/>
    <n v="6"/>
    <n v="3"/>
    <n v="87.68"/>
    <n v="60.671999999999997"/>
    <n v="73.809600000000003"/>
    <x v="2"/>
    <x v="0"/>
    <x v="2"/>
  </r>
  <r>
    <x v="23"/>
    <x v="4"/>
    <x v="0"/>
    <n v="55.07"/>
    <n v="5"/>
    <n v="1.21"/>
    <n v="7.46"/>
    <n v="57.72"/>
    <n v="7"/>
    <n v="1"/>
    <n v="37.616"/>
    <n v="38.448000000000008"/>
    <n v="37.603999999999999"/>
    <x v="0"/>
    <x v="1"/>
    <x v="0"/>
  </r>
  <r>
    <x v="24"/>
    <x v="1"/>
    <x v="0"/>
    <n v="74.290000000000006"/>
    <n v="9"/>
    <n v="6.35"/>
    <n v="90.77"/>
    <n v="67.400000000000006"/>
    <n v="6"/>
    <n v="0"/>
    <n v="76.748000000000005"/>
    <n v="60.416000000000011"/>
    <n v="67.173600000000008"/>
    <x v="1"/>
    <x v="2"/>
    <x v="1"/>
  </r>
  <r>
    <x v="25"/>
    <x v="6"/>
    <x v="0"/>
    <n v="62.84"/>
    <n v="9"/>
    <n v="5.82"/>
    <n v="99.66"/>
    <n v="1.67"/>
    <n v="6"/>
    <n v="1"/>
    <n v="40.866000000000007"/>
    <n v="58.776000000000003"/>
    <n v="45.1524"/>
    <x v="0"/>
    <x v="0"/>
    <x v="1"/>
  </r>
  <r>
    <x v="26"/>
    <x v="6"/>
    <x v="1"/>
    <n v="64.239999999999995"/>
    <n v="4"/>
    <n v="1.18"/>
    <n v="70.040000000000006"/>
    <n v="33.89"/>
    <n v="13"/>
    <n v="2"/>
    <n v="48.350000000000009"/>
    <n v="44.055999999999997"/>
    <n v="48.726800000000004"/>
    <x v="0"/>
    <x v="0"/>
    <x v="1"/>
  </r>
  <r>
    <x v="27"/>
    <x v="5"/>
    <x v="1"/>
    <n v="65.36"/>
    <n v="1"/>
    <n v="2.12"/>
    <n v="77.040000000000006"/>
    <n v="79.569999999999993"/>
    <n v="17"/>
    <n v="1"/>
    <n v="78.557999999999993"/>
    <n v="36.384"/>
    <n v="66.549999999999983"/>
    <x v="1"/>
    <x v="0"/>
    <x v="2"/>
  </r>
  <r>
    <x v="28"/>
    <x v="4"/>
    <x v="1"/>
    <n v="90.15"/>
    <n v="8"/>
    <n v="3.11"/>
    <n v="33.729999999999997"/>
    <n v="7.75"/>
    <n v="5"/>
    <n v="0"/>
    <n v="18.141999999999999"/>
    <n v="58.28"/>
    <n v="30.869199999999999"/>
    <x v="0"/>
    <x v="0"/>
    <x v="0"/>
  </r>
  <r>
    <x v="29"/>
    <x v="1"/>
    <x v="0"/>
    <n v="76.959999999999994"/>
    <n v="7"/>
    <n v="1.67"/>
    <n v="94.16"/>
    <n v="28.23"/>
    <n v="3"/>
    <n v="0"/>
    <n v="54.602000000000004"/>
    <n v="48.123999999999995"/>
    <n v="48.698399999999999"/>
    <x v="0"/>
    <x v="0"/>
    <x v="1"/>
  </r>
  <r>
    <x v="30"/>
    <x v="2"/>
    <x v="0"/>
    <n v="65.569999999999993"/>
    <n v="2"/>
    <n v="2.44"/>
    <n v="52.97"/>
    <n v="58.53"/>
    <n v="9"/>
    <n v="2"/>
    <n v="56.306000000000004"/>
    <n v="43.107999999999997"/>
    <n v="51.216000000000001"/>
    <x v="0"/>
    <x v="0"/>
    <x v="1"/>
  </r>
  <r>
    <x v="31"/>
    <x v="7"/>
    <x v="2"/>
    <n v="80.52"/>
    <n v="7"/>
    <n v="2.68"/>
    <n v="73.239999999999995"/>
    <n v="25.64"/>
    <n v="17"/>
    <n v="0"/>
    <n v="44.68"/>
    <n v="51.567999999999998"/>
    <n v="50.778399999999998"/>
    <x v="0"/>
    <x v="0"/>
    <x v="2"/>
  </r>
  <r>
    <x v="32"/>
    <x v="1"/>
    <x v="2"/>
    <n v="85.81"/>
    <n v="8"/>
    <n v="3.36"/>
    <n v="92.41"/>
    <n v="93.4"/>
    <n v="11"/>
    <n v="2"/>
    <n v="93.003999999999991"/>
    <n v="65.044000000000011"/>
    <n v="80.815599999999989"/>
    <x v="2"/>
    <x v="2"/>
    <x v="1"/>
  </r>
  <r>
    <x v="33"/>
    <x v="5"/>
    <x v="0"/>
    <n v="63.63"/>
    <n v="2"/>
    <n v="7.49"/>
    <n v="97.52"/>
    <n v="13.11"/>
    <n v="15"/>
    <n v="2"/>
    <n v="46.874000000000002"/>
    <n v="52.432000000000002"/>
    <n v="51.353999999999999"/>
    <x v="0"/>
    <x v="0"/>
    <x v="2"/>
  </r>
  <r>
    <x v="34"/>
    <x v="6"/>
    <x v="0"/>
    <n v="70.680000000000007"/>
    <n v="2"/>
    <n v="5.72"/>
    <n v="83.32"/>
    <n v="79.739999999999995"/>
    <n v="6"/>
    <n v="0"/>
    <n v="81.171999999999997"/>
    <n v="43.712000000000003"/>
    <n v="64.816800000000001"/>
    <x v="1"/>
    <x v="2"/>
    <x v="1"/>
  </r>
  <r>
    <x v="35"/>
    <x v="2"/>
    <x v="2"/>
    <n v="56.09"/>
    <n v="1"/>
    <n v="9.86"/>
    <n v="30.3"/>
    <n v="50.79"/>
    <n v="5"/>
    <n v="4"/>
    <n v="42.593999999999994"/>
    <n v="60.156000000000006"/>
    <n v="46.103200000000001"/>
    <x v="0"/>
    <x v="1"/>
    <x v="1"/>
  </r>
  <r>
    <x v="36"/>
    <x v="1"/>
    <x v="0"/>
    <n v="59.06"/>
    <n v="7"/>
    <n v="4.1500000000000004"/>
    <n v="96.65"/>
    <n v="75.03"/>
    <n v="4"/>
    <n v="2"/>
    <n v="83.677999999999997"/>
    <n v="53.924000000000007"/>
    <n v="68.384"/>
    <x v="1"/>
    <x v="0"/>
    <x v="1"/>
  </r>
  <r>
    <x v="37"/>
    <x v="7"/>
    <x v="1"/>
    <n v="84.06"/>
    <n v="9"/>
    <n v="7.54"/>
    <n v="62.81"/>
    <n v="31.07"/>
    <n v="2"/>
    <n v="0"/>
    <n v="43.766000000000005"/>
    <n v="66.704000000000008"/>
    <n v="47.270800000000008"/>
    <x v="0"/>
    <x v="0"/>
    <x v="2"/>
  </r>
  <r>
    <x v="38"/>
    <x v="7"/>
    <x v="0"/>
    <n v="59.07"/>
    <n v="0"/>
    <n v="8.7100000000000009"/>
    <n v="93.06"/>
    <n v="51.45"/>
    <n v="11"/>
    <n v="4"/>
    <n v="68.094000000000008"/>
    <n v="57.048000000000002"/>
    <n v="63.470799999999997"/>
    <x v="1"/>
    <x v="0"/>
    <x v="2"/>
  </r>
  <r>
    <x v="39"/>
    <x v="3"/>
    <x v="1"/>
    <n v="76.260000000000005"/>
    <n v="7"/>
    <n v="6.79"/>
    <n v="67.61"/>
    <n v="85.68"/>
    <n v="14"/>
    <n v="2"/>
    <n v="78.451999999999998"/>
    <n v="66.084000000000003"/>
    <n v="73.8964"/>
    <x v="2"/>
    <x v="2"/>
    <x v="2"/>
  </r>
  <r>
    <x v="40"/>
    <x v="3"/>
    <x v="2"/>
    <n v="85.45"/>
    <n v="6"/>
    <n v="4.12"/>
    <n v="30.72"/>
    <n v="46.69"/>
    <n v="9"/>
    <n v="4"/>
    <n v="40.302"/>
    <n v="70.42"/>
    <n v="49.807200000000002"/>
    <x v="0"/>
    <x v="0"/>
    <x v="2"/>
  </r>
  <r>
    <x v="41"/>
    <x v="0"/>
    <x v="0"/>
    <n v="55.34"/>
    <n v="6"/>
    <n v="7.54"/>
    <n v="37"/>
    <n v="35.97"/>
    <n v="19"/>
    <n v="3"/>
    <n v="36.381999999999998"/>
    <n v="61.216000000000001"/>
    <n v="49.693999999999996"/>
    <x v="0"/>
    <x v="1"/>
    <x v="0"/>
  </r>
  <r>
    <x v="42"/>
    <x v="5"/>
    <x v="1"/>
    <n v="78.37"/>
    <n v="2"/>
    <n v="2.04"/>
    <n v="55.05"/>
    <n v="53.62"/>
    <n v="18"/>
    <n v="5"/>
    <n v="54.191999999999993"/>
    <n v="59.427999999999997"/>
    <n v="59.343599999999995"/>
    <x v="1"/>
    <x v="0"/>
    <x v="2"/>
  </r>
  <r>
    <x v="43"/>
    <x v="4"/>
    <x v="0"/>
    <n v="62.83"/>
    <n v="0"/>
    <n v="3.28"/>
    <n v="79"/>
    <n v="71.739999999999995"/>
    <n v="15"/>
    <n v="3"/>
    <n v="74.644000000000005"/>
    <n v="43.692"/>
    <n v="65.394000000000005"/>
    <x v="1"/>
    <x v="0"/>
    <x v="0"/>
  </r>
  <r>
    <x v="44"/>
    <x v="1"/>
    <x v="0"/>
    <n v="98.15"/>
    <n v="3"/>
    <n v="5.47"/>
    <n v="31.8"/>
    <n v="44.36"/>
    <n v="10"/>
    <n v="4"/>
    <n v="39.335999999999999"/>
    <n v="72.2"/>
    <n v="50.261600000000001"/>
    <x v="0"/>
    <x v="0"/>
    <x v="1"/>
  </r>
  <r>
    <x v="45"/>
    <x v="1"/>
    <x v="1"/>
    <n v="74.180000000000007"/>
    <n v="8"/>
    <n v="5.75"/>
    <n v="57.97"/>
    <n v="93.89"/>
    <n v="7"/>
    <n v="2"/>
    <n v="79.521999999999991"/>
    <n v="65.171999999999997"/>
    <n v="70.764799999999994"/>
    <x v="2"/>
    <x v="2"/>
    <x v="1"/>
  </r>
  <r>
    <x v="46"/>
    <x v="4"/>
    <x v="1"/>
    <n v="90.3"/>
    <n v="4"/>
    <n v="0.22"/>
    <n v="34.56"/>
    <n v="29.49"/>
    <n v="2"/>
    <n v="0"/>
    <n v="31.518000000000001"/>
    <n v="44.559999999999995"/>
    <n v="33.278799999999997"/>
    <x v="0"/>
    <x v="0"/>
    <x v="0"/>
  </r>
  <r>
    <x v="47"/>
    <x v="0"/>
    <x v="0"/>
    <n v="77.510000000000005"/>
    <n v="0"/>
    <n v="9.4499999999999993"/>
    <n v="81.58"/>
    <n v="47.55"/>
    <n v="6"/>
    <n v="1"/>
    <n v="61.161999999999992"/>
    <n v="53.904000000000003"/>
    <n v="55.868399999999994"/>
    <x v="1"/>
    <x v="2"/>
    <x v="0"/>
  </r>
  <r>
    <x v="48"/>
    <x v="6"/>
    <x v="0"/>
    <n v="52.17"/>
    <n v="4"/>
    <n v="6.97"/>
    <n v="46.67"/>
    <n v="75.69"/>
    <n v="6"/>
    <n v="0"/>
    <n v="64.081999999999994"/>
    <n v="42.808"/>
    <n v="54.291599999999995"/>
    <x v="0"/>
    <x v="0"/>
    <x v="1"/>
  </r>
  <r>
    <x v="49"/>
    <x v="6"/>
    <x v="0"/>
    <n v="81.66"/>
    <n v="7"/>
    <n v="4.96"/>
    <n v="7.67"/>
    <n v="68.91"/>
    <n v="13"/>
    <n v="1"/>
    <n v="44.413999999999994"/>
    <n v="60.584000000000003"/>
    <n v="51.323599999999999"/>
    <x v="0"/>
    <x v="0"/>
    <x v="1"/>
  </r>
  <r>
    <x v="50"/>
    <x v="0"/>
    <x v="0"/>
    <n v="97.57"/>
    <n v="7"/>
    <n v="9.33"/>
    <n v="16.61"/>
    <n v="86.36"/>
    <n v="1"/>
    <n v="1"/>
    <n v="58.459999999999994"/>
    <n v="75.688000000000002"/>
    <n v="58.282399999999996"/>
    <x v="1"/>
    <x v="0"/>
    <x v="0"/>
  </r>
  <r>
    <x v="51"/>
    <x v="6"/>
    <x v="0"/>
    <n v="80.08"/>
    <n v="4"/>
    <n v="4.3899999999999997"/>
    <n v="6.11"/>
    <n v="99.68"/>
    <n v="9"/>
    <n v="2"/>
    <n v="62.252000000000002"/>
    <n v="56.812000000000005"/>
    <n v="58.894800000000004"/>
    <x v="1"/>
    <x v="2"/>
    <x v="1"/>
  </r>
  <r>
    <x v="52"/>
    <x v="3"/>
    <x v="0"/>
    <n v="90.96"/>
    <n v="8"/>
    <n v="9.8000000000000007"/>
    <n v="49.93"/>
    <n v="42.69"/>
    <n v="18"/>
    <n v="4"/>
    <n v="45.585999999999999"/>
    <n v="87.984000000000009"/>
    <n v="62.7468"/>
    <x v="1"/>
    <x v="0"/>
    <x v="2"/>
  </r>
  <r>
    <x v="53"/>
    <x v="1"/>
    <x v="0"/>
    <n v="94.21"/>
    <n v="0"/>
    <n v="5.12"/>
    <n v="10.63"/>
    <n v="11.12"/>
    <n v="8"/>
    <n v="0"/>
    <n v="10.923999999999999"/>
    <n v="47.923999999999999"/>
    <n v="24.9316"/>
    <x v="0"/>
    <x v="0"/>
    <x v="1"/>
  </r>
  <r>
    <x v="54"/>
    <x v="0"/>
    <x v="0"/>
    <n v="61.4"/>
    <n v="3"/>
    <n v="1.1399999999999999"/>
    <n v="11.41"/>
    <n v="3.04"/>
    <n v="15"/>
    <n v="4"/>
    <n v="6.3879999999999999"/>
    <n v="48.84"/>
    <n v="25.9848"/>
    <x v="0"/>
    <x v="0"/>
    <x v="0"/>
  </r>
  <r>
    <x v="55"/>
    <x v="1"/>
    <x v="1"/>
    <n v="60.6"/>
    <n v="2"/>
    <n v="7.65"/>
    <n v="94.1"/>
    <n v="72.69"/>
    <n v="18"/>
    <n v="3"/>
    <n v="81.253999999999991"/>
    <n v="55.540000000000006"/>
    <n v="74.414400000000001"/>
    <x v="2"/>
    <x v="0"/>
    <x v="1"/>
  </r>
  <r>
    <x v="56"/>
    <x v="4"/>
    <x v="1"/>
    <n v="80.55"/>
    <n v="1"/>
    <n v="6.79"/>
    <n v="87.27"/>
    <n v="87.4"/>
    <n v="17"/>
    <n v="2"/>
    <n v="87.348000000000013"/>
    <n v="55.8"/>
    <n v="77.648800000000008"/>
    <x v="2"/>
    <x v="2"/>
    <x v="0"/>
  </r>
  <r>
    <x v="57"/>
    <x v="7"/>
    <x v="1"/>
    <n v="70.55"/>
    <n v="7"/>
    <n v="7.73"/>
    <n v="45.21"/>
    <n v="22.07"/>
    <n v="8"/>
    <n v="2"/>
    <n v="31.326000000000001"/>
    <n v="65.680000000000007"/>
    <n v="42.499600000000001"/>
    <x v="0"/>
    <x v="0"/>
    <x v="2"/>
  </r>
  <r>
    <x v="58"/>
    <x v="3"/>
    <x v="0"/>
    <n v="91.99"/>
    <n v="6"/>
    <n v="9.51"/>
    <n v="98.58"/>
    <n v="15.84"/>
    <n v="15"/>
    <n v="3"/>
    <n v="48.936"/>
    <n v="79.816000000000003"/>
    <n v="60.806399999999996"/>
    <x v="1"/>
    <x v="0"/>
    <x v="2"/>
  </r>
  <r>
    <x v="59"/>
    <x v="2"/>
    <x v="0"/>
    <n v="95"/>
    <n v="8"/>
    <n v="7.76"/>
    <n v="0.02"/>
    <n v="6.22"/>
    <n v="12"/>
    <n v="0"/>
    <n v="3.7399999999999998"/>
    <n v="69.52"/>
    <n v="29.099999999999998"/>
    <x v="0"/>
    <x v="0"/>
    <x v="1"/>
  </r>
  <r>
    <x v="60"/>
    <x v="3"/>
    <x v="0"/>
    <n v="67.67"/>
    <n v="1"/>
    <n v="6.11"/>
    <n v="61.4"/>
    <n v="82.27"/>
    <n v="9"/>
    <n v="5"/>
    <n v="73.921999999999997"/>
    <n v="61.288000000000004"/>
    <n v="67.239599999999996"/>
    <x v="1"/>
    <x v="0"/>
    <x v="2"/>
  </r>
  <r>
    <x v="61"/>
    <x v="0"/>
    <x v="1"/>
    <n v="61.84"/>
    <n v="3"/>
    <n v="8.57"/>
    <n v="61.64"/>
    <n v="31.14"/>
    <n v="19"/>
    <n v="3"/>
    <n v="43.34"/>
    <n v="59.876000000000005"/>
    <n v="53.466800000000006"/>
    <x v="0"/>
    <x v="0"/>
    <x v="0"/>
  </r>
  <r>
    <x v="62"/>
    <x v="2"/>
    <x v="1"/>
    <n v="89.03"/>
    <n v="5"/>
    <n v="6.73"/>
    <n v="45.74"/>
    <n v="40.17"/>
    <n v="13"/>
    <n v="0"/>
    <n v="42.398000000000003"/>
    <n v="59.072000000000003"/>
    <n v="49.660399999999996"/>
    <x v="0"/>
    <x v="0"/>
    <x v="1"/>
  </r>
  <r>
    <x v="63"/>
    <x v="7"/>
    <x v="1"/>
    <n v="63.74"/>
    <n v="10"/>
    <n v="4.08"/>
    <n v="39.69"/>
    <n v="50.28"/>
    <n v="11"/>
    <n v="1"/>
    <n v="46.043999999999997"/>
    <n v="57.656000000000006"/>
    <n v="50.423199999999994"/>
    <x v="0"/>
    <x v="0"/>
    <x v="2"/>
  </r>
  <r>
    <x v="64"/>
    <x v="0"/>
    <x v="1"/>
    <n v="91.13"/>
    <n v="2"/>
    <n v="8.86"/>
    <n v="45.54"/>
    <n v="83.95"/>
    <n v="18"/>
    <n v="2"/>
    <n v="68.585999999999999"/>
    <n v="66.171999999999997"/>
    <n v="70.003199999999993"/>
    <x v="2"/>
    <x v="2"/>
    <x v="0"/>
  </r>
  <r>
    <x v="65"/>
    <x v="5"/>
    <x v="0"/>
    <n v="71.19"/>
    <n v="7"/>
    <n v="2.2200000000000002"/>
    <n v="41.5"/>
    <n v="65.08"/>
    <n v="6"/>
    <n v="0"/>
    <n v="55.647999999999996"/>
    <n v="46.915999999999997"/>
    <n v="50.463599999999992"/>
    <x v="0"/>
    <x v="0"/>
    <x v="2"/>
  </r>
  <r>
    <x v="66"/>
    <x v="1"/>
    <x v="1"/>
    <n v="83.38"/>
    <n v="2"/>
    <n v="7.15"/>
    <n v="73.05"/>
    <n v="61.51"/>
    <n v="14"/>
    <n v="4"/>
    <n v="66.126000000000005"/>
    <n v="67.652000000000001"/>
    <n v="66.97120000000001"/>
    <x v="1"/>
    <x v="2"/>
    <x v="1"/>
  </r>
  <r>
    <x v="67"/>
    <x v="7"/>
    <x v="1"/>
    <n v="54.78"/>
    <n v="1"/>
    <n v="8.82"/>
    <n v="13.54"/>
    <n v="17.57"/>
    <n v="15"/>
    <n v="4"/>
    <n v="15.958"/>
    <n v="57.552000000000007"/>
    <n v="34.340400000000002"/>
    <x v="0"/>
    <x v="1"/>
    <x v="2"/>
  </r>
  <r>
    <x v="68"/>
    <x v="1"/>
    <x v="2"/>
    <n v="81.19"/>
    <n v="2"/>
    <n v="7.31"/>
    <n v="19.760000000000002"/>
    <n v="51.32"/>
    <n v="7"/>
    <n v="2"/>
    <n v="38.695999999999998"/>
    <n v="59.095999999999997"/>
    <n v="44.446399999999997"/>
    <x v="0"/>
    <x v="0"/>
    <x v="1"/>
  </r>
  <r>
    <x v="69"/>
    <x v="6"/>
    <x v="1"/>
    <n v="72.59"/>
    <n v="10"/>
    <n v="6.97"/>
    <n v="18.05"/>
    <n v="71.540000000000006"/>
    <n v="9"/>
    <n v="3"/>
    <n v="50.143999999999998"/>
    <n v="74.975999999999999"/>
    <n v="57.0792"/>
    <x v="1"/>
    <x v="0"/>
    <x v="1"/>
  </r>
  <r>
    <x v="70"/>
    <x v="5"/>
    <x v="0"/>
    <n v="79.33"/>
    <n v="5"/>
    <n v="7.53"/>
    <n v="26.25"/>
    <n v="97.33"/>
    <n v="3"/>
    <n v="5"/>
    <n v="68.897999999999996"/>
    <n v="76.792000000000002"/>
    <n v="65.876400000000004"/>
    <x v="1"/>
    <x v="2"/>
    <x v="2"/>
  </r>
  <r>
    <x v="71"/>
    <x v="5"/>
    <x v="0"/>
    <n v="58.4"/>
    <n v="1"/>
    <n v="4.6500000000000004"/>
    <n v="52.53"/>
    <n v="20.14"/>
    <n v="18"/>
    <n v="3"/>
    <n v="33.096000000000004"/>
    <n v="46.66"/>
    <n v="42.855600000000003"/>
    <x v="0"/>
    <x v="1"/>
    <x v="2"/>
  </r>
  <r>
    <x v="72"/>
    <x v="7"/>
    <x v="1"/>
    <n v="86.84"/>
    <n v="7"/>
    <n v="8.74"/>
    <n v="11.12"/>
    <n v="0.95"/>
    <n v="18"/>
    <n v="0"/>
    <n v="5.0179999999999998"/>
    <n v="66.216000000000008"/>
    <n v="31.875600000000002"/>
    <x v="0"/>
    <x v="0"/>
    <x v="2"/>
  </r>
  <r>
    <x v="73"/>
    <x v="5"/>
    <x v="0"/>
    <n v="93.14"/>
    <n v="0"/>
    <n v="2.0299999999999998"/>
    <n v="86.82"/>
    <n v="7.53"/>
    <n v="14"/>
    <n v="3"/>
    <n v="39.246000000000002"/>
    <n v="53.316000000000003"/>
    <n v="46.542400000000001"/>
    <x v="0"/>
    <x v="0"/>
    <x v="2"/>
  </r>
  <r>
    <x v="74"/>
    <x v="2"/>
    <x v="0"/>
    <n v="60.84"/>
    <n v="6"/>
    <n v="1.27"/>
    <n v="29.74"/>
    <n v="37.590000000000003"/>
    <n v="13"/>
    <n v="2"/>
    <n v="34.450000000000003"/>
    <n v="46.875999999999998"/>
    <n v="41.232799999999997"/>
    <x v="0"/>
    <x v="0"/>
    <x v="1"/>
  </r>
  <r>
    <x v="75"/>
    <x v="5"/>
    <x v="2"/>
    <n v="54.79"/>
    <n v="1"/>
    <n v="2.86"/>
    <n v="16.25"/>
    <n v="82.05"/>
    <n v="0"/>
    <n v="0"/>
    <n v="55.73"/>
    <n v="29.635999999999999"/>
    <n v="42.328799999999994"/>
    <x v="0"/>
    <x v="0"/>
    <x v="2"/>
  </r>
  <r>
    <x v="76"/>
    <x v="1"/>
    <x v="1"/>
    <n v="51.18"/>
    <n v="9"/>
    <n v="5.32"/>
    <n v="67.56"/>
    <n v="0.71"/>
    <n v="15"/>
    <n v="1"/>
    <n v="27.45"/>
    <n v="53.112000000000002"/>
    <n v="39.903599999999997"/>
    <x v="0"/>
    <x v="1"/>
    <x v="1"/>
  </r>
  <r>
    <x v="77"/>
    <x v="1"/>
    <x v="2"/>
    <n v="82.1"/>
    <n v="5"/>
    <n v="5.1100000000000003"/>
    <n v="3.81"/>
    <n v="45.67"/>
    <n v="9"/>
    <n v="3"/>
    <n v="28.926000000000002"/>
    <n v="65.06"/>
    <n v="41.373599999999996"/>
    <x v="0"/>
    <x v="0"/>
    <x v="1"/>
  </r>
  <r>
    <x v="78"/>
    <x v="0"/>
    <x v="0"/>
    <n v="80.349999999999994"/>
    <n v="1"/>
    <n v="8.2100000000000009"/>
    <n v="62"/>
    <n v="32.92"/>
    <n v="18"/>
    <n v="3"/>
    <n v="44.552"/>
    <n v="62.56"/>
    <n v="54.499200000000002"/>
    <x v="0"/>
    <x v="0"/>
    <x v="0"/>
  </r>
  <r>
    <x v="79"/>
    <x v="1"/>
    <x v="1"/>
    <n v="77.33"/>
    <n v="1"/>
    <n v="4.05"/>
    <n v="69.819999999999993"/>
    <n v="5.25"/>
    <n v="2"/>
    <n v="5"/>
    <n v="31.077999999999996"/>
    <n v="61.032000000000004"/>
    <n v="37.956399999999995"/>
    <x v="0"/>
    <x v="0"/>
    <x v="1"/>
  </r>
  <r>
    <x v="80"/>
    <x v="0"/>
    <x v="0"/>
    <n v="61.6"/>
    <n v="9"/>
    <n v="4.84"/>
    <n v="21.49"/>
    <n v="45.02"/>
    <n v="4"/>
    <n v="0"/>
    <n v="35.608000000000004"/>
    <n v="52.32"/>
    <n v="39.0608"/>
    <x v="0"/>
    <x v="0"/>
    <x v="0"/>
  </r>
  <r>
    <x v="81"/>
    <x v="1"/>
    <x v="2"/>
    <n v="69.55"/>
    <n v="7"/>
    <n v="0.13"/>
    <n v="4.2"/>
    <n v="25.47"/>
    <n v="8"/>
    <n v="4"/>
    <n v="16.962"/>
    <n v="58.08"/>
    <n v="31.601199999999999"/>
    <x v="0"/>
    <x v="0"/>
    <x v="1"/>
  </r>
  <r>
    <x v="82"/>
    <x v="2"/>
    <x v="0"/>
    <n v="79.72"/>
    <n v="1"/>
    <n v="4.0999999999999996"/>
    <n v="36.36"/>
    <n v="35.19"/>
    <n v="17"/>
    <n v="3"/>
    <n v="35.658000000000001"/>
    <n v="54.088000000000008"/>
    <n v="46.121200000000002"/>
    <x v="0"/>
    <x v="0"/>
    <x v="1"/>
  </r>
  <r>
    <x v="83"/>
    <x v="4"/>
    <x v="1"/>
    <n v="74.84"/>
    <n v="6"/>
    <n v="6.48"/>
    <n v="9.86"/>
    <n v="70.56"/>
    <n v="10"/>
    <n v="2"/>
    <n v="46.28"/>
    <n v="62.896000000000008"/>
    <n v="51.636800000000001"/>
    <x v="0"/>
    <x v="0"/>
    <x v="0"/>
  </r>
  <r>
    <x v="84"/>
    <x v="0"/>
    <x v="0"/>
    <n v="99.39"/>
    <n v="2"/>
    <n v="0.16"/>
    <n v="11.65"/>
    <n v="52.16"/>
    <n v="15"/>
    <n v="3"/>
    <n v="35.955999999999996"/>
    <n v="56.076000000000001"/>
    <n v="45.8964"/>
    <x v="0"/>
    <x v="0"/>
    <x v="0"/>
  </r>
  <r>
    <x v="85"/>
    <x v="3"/>
    <x v="1"/>
    <n v="56.82"/>
    <n v="7"/>
    <n v="2.81"/>
    <n v="25.43"/>
    <n v="12.46"/>
    <n v="1"/>
    <n v="5"/>
    <n v="17.648"/>
    <n v="62.347999999999999"/>
    <n v="29.793199999999999"/>
    <x v="0"/>
    <x v="1"/>
    <x v="2"/>
  </r>
  <r>
    <x v="86"/>
    <x v="6"/>
    <x v="1"/>
    <n v="84.76"/>
    <n v="6"/>
    <n v="2.08"/>
    <n v="29.55"/>
    <n v="96.14"/>
    <n v="11"/>
    <n v="1"/>
    <n v="69.503999999999991"/>
    <n v="54.064000000000007"/>
    <n v="63.421599999999991"/>
    <x v="1"/>
    <x v="2"/>
    <x v="1"/>
  </r>
  <r>
    <x v="87"/>
    <x v="7"/>
    <x v="1"/>
    <n v="70.22"/>
    <n v="7"/>
    <n v="0.42"/>
    <n v="53"/>
    <n v="63.59"/>
    <n v="5"/>
    <n v="5"/>
    <n v="59.354000000000006"/>
    <n v="62.928000000000004"/>
    <n v="56.9908"/>
    <x v="1"/>
    <x v="0"/>
    <x v="2"/>
  </r>
  <r>
    <x v="88"/>
    <x v="1"/>
    <x v="1"/>
    <n v="71.41"/>
    <n v="6"/>
    <n v="4.79"/>
    <n v="67.84"/>
    <n v="76.59"/>
    <n v="10"/>
    <n v="3"/>
    <n v="73.09"/>
    <n v="62.143999999999998"/>
    <n v="67.497199999999992"/>
    <x v="1"/>
    <x v="2"/>
    <x v="1"/>
  </r>
  <r>
    <x v="89"/>
    <x v="5"/>
    <x v="1"/>
    <n v="85.88"/>
    <n v="10"/>
    <n v="1.82"/>
    <n v="59.28"/>
    <n v="7.92"/>
    <n v="7"/>
    <n v="4"/>
    <n v="28.464000000000002"/>
    <n v="73.99199999999999"/>
    <n v="42.775999999999996"/>
    <x v="0"/>
    <x v="0"/>
    <x v="2"/>
  </r>
  <r>
    <x v="90"/>
    <x v="4"/>
    <x v="1"/>
    <n v="84.62"/>
    <n v="5"/>
    <n v="7.43"/>
    <n v="14.84"/>
    <n v="4.71"/>
    <n v="11"/>
    <n v="3"/>
    <n v="8.7620000000000005"/>
    <n v="70.707999999999998"/>
    <n v="31.9696"/>
    <x v="0"/>
    <x v="0"/>
    <x v="0"/>
  </r>
  <r>
    <x v="91"/>
    <x v="1"/>
    <x v="0"/>
    <n v="99.56"/>
    <n v="6"/>
    <n v="8.48"/>
    <n v="17.21"/>
    <n v="1.94"/>
    <n v="1"/>
    <n v="0"/>
    <n v="8.048"/>
    <n v="68.784000000000006"/>
    <n v="25.964000000000002"/>
    <x v="0"/>
    <x v="0"/>
    <x v="1"/>
  </r>
  <r>
    <x v="92"/>
    <x v="5"/>
    <x v="1"/>
    <n v="56.42"/>
    <n v="4"/>
    <n v="5.46"/>
    <n v="87.88"/>
    <n v="18.88"/>
    <n v="8"/>
    <n v="3"/>
    <n v="46.480000000000004"/>
    <n v="53.488"/>
    <n v="47.934399999999997"/>
    <x v="0"/>
    <x v="1"/>
    <x v="2"/>
  </r>
  <r>
    <x v="93"/>
    <x v="6"/>
    <x v="1"/>
    <n v="55.21"/>
    <n v="6"/>
    <n v="9.82"/>
    <n v="55.84"/>
    <n v="41.44"/>
    <n v="14"/>
    <n v="4"/>
    <n v="47.2"/>
    <n v="69.724000000000004"/>
    <n v="56.237200000000001"/>
    <x v="1"/>
    <x v="1"/>
    <x v="1"/>
  </r>
  <r>
    <x v="94"/>
    <x v="6"/>
    <x v="0"/>
    <n v="86.22"/>
    <n v="0"/>
    <n v="4.5"/>
    <n v="86.99"/>
    <n v="93.58"/>
    <n v="1"/>
    <n v="0"/>
    <n v="90.943999999999988"/>
    <n v="43.488"/>
    <n v="68.112799999999993"/>
    <x v="1"/>
    <x v="2"/>
    <x v="1"/>
  </r>
  <r>
    <x v="95"/>
    <x v="6"/>
    <x v="0"/>
    <n v="78.92"/>
    <n v="0"/>
    <n v="5.13"/>
    <n v="37.15"/>
    <n v="45.71"/>
    <n v="0"/>
    <n v="2"/>
    <n v="42.286000000000001"/>
    <n v="49.828000000000003"/>
    <n v="40.32"/>
    <x v="0"/>
    <x v="0"/>
    <x v="1"/>
  </r>
  <r>
    <x v="96"/>
    <x v="5"/>
    <x v="0"/>
    <n v="63.71"/>
    <n v="8"/>
    <n v="9.89"/>
    <n v="61.44"/>
    <n v="29.03"/>
    <n v="9"/>
    <n v="0"/>
    <n v="41.994"/>
    <n v="61.264000000000003"/>
    <n v="48.075600000000001"/>
    <x v="0"/>
    <x v="0"/>
    <x v="2"/>
  </r>
  <r>
    <x v="97"/>
    <x v="1"/>
    <x v="1"/>
    <n v="53.97"/>
    <n v="4"/>
    <n v="2.3199999999999998"/>
    <n v="52.37"/>
    <n v="56.19"/>
    <n v="1"/>
    <n v="5"/>
    <n v="54.661999999999999"/>
    <n v="54.228000000000002"/>
    <n v="49.565599999999996"/>
    <x v="0"/>
    <x v="0"/>
    <x v="1"/>
  </r>
  <r>
    <x v="98"/>
    <x v="6"/>
    <x v="1"/>
    <n v="54.28"/>
    <n v="4"/>
    <n v="9.43"/>
    <n v="31.91"/>
    <n v="11.19"/>
    <n v="11"/>
    <n v="1"/>
    <n v="19.478000000000002"/>
    <n v="52.572000000000003"/>
    <n v="32.958399999999997"/>
    <x v="0"/>
    <x v="1"/>
    <x v="1"/>
  </r>
  <r>
    <x v="99"/>
    <x v="2"/>
    <x v="1"/>
    <n v="94.71"/>
    <n v="2"/>
    <n v="0.43"/>
    <n v="46.99"/>
    <n v="60.95"/>
    <n v="7"/>
    <n v="5"/>
    <n v="55.366"/>
    <n v="62.744"/>
    <n v="55.5428"/>
    <x v="1"/>
    <x v="0"/>
    <x v="1"/>
  </r>
  <r>
    <x v="100"/>
    <x v="0"/>
    <x v="1"/>
    <n v="59.59"/>
    <n v="4"/>
    <n v="4.46"/>
    <n v="50.25"/>
    <n v="56.84"/>
    <n v="4"/>
    <n v="0"/>
    <n v="54.204000000000001"/>
    <n v="40.756"/>
    <n v="46.749199999999995"/>
    <x v="0"/>
    <x v="0"/>
    <x v="0"/>
  </r>
  <r>
    <x v="101"/>
    <x v="5"/>
    <x v="1"/>
    <n v="66.17"/>
    <n v="2"/>
    <n v="0.7"/>
    <n v="20.079999999999998"/>
    <n v="79.2"/>
    <n v="0"/>
    <n v="2"/>
    <n v="55.552000000000007"/>
    <n v="39.868000000000002"/>
    <n v="45.291600000000003"/>
    <x v="0"/>
    <x v="0"/>
    <x v="2"/>
  </r>
  <r>
    <x v="102"/>
    <x v="5"/>
    <x v="1"/>
    <n v="61.33"/>
    <n v="8"/>
    <n v="7.29"/>
    <n v="31.5"/>
    <n v="98.67"/>
    <n v="14"/>
    <n v="3"/>
    <n v="71.801999999999992"/>
    <n v="67.111999999999995"/>
    <n v="70.214799999999997"/>
    <x v="2"/>
    <x v="0"/>
    <x v="2"/>
  </r>
  <r>
    <x v="103"/>
    <x v="1"/>
    <x v="1"/>
    <n v="67.75"/>
    <n v="8"/>
    <n v="6.08"/>
    <n v="79.14"/>
    <n v="25.09"/>
    <n v="5"/>
    <n v="0"/>
    <n v="46.71"/>
    <n v="55.260000000000005"/>
    <n v="47.103999999999999"/>
    <x v="0"/>
    <x v="0"/>
    <x v="1"/>
  </r>
  <r>
    <x v="104"/>
    <x v="5"/>
    <x v="1"/>
    <n v="53.47"/>
    <n v="5"/>
    <n v="7.07"/>
    <n v="91.58"/>
    <n v="50.97"/>
    <n v="11"/>
    <n v="5"/>
    <n v="67.213999999999999"/>
    <n v="65.528000000000006"/>
    <n v="65.486800000000002"/>
    <x v="1"/>
    <x v="0"/>
    <x v="2"/>
  </r>
  <r>
    <x v="105"/>
    <x v="5"/>
    <x v="0"/>
    <n v="75.95"/>
    <n v="0"/>
    <n v="3.74"/>
    <n v="35.979999999999997"/>
    <n v="90.89"/>
    <n v="7"/>
    <n v="0"/>
    <n v="68.926000000000002"/>
    <n v="37.86"/>
    <n v="56.2136"/>
    <x v="1"/>
    <x v="2"/>
    <x v="2"/>
  </r>
  <r>
    <x v="106"/>
    <x v="6"/>
    <x v="1"/>
    <n v="53.38"/>
    <n v="6"/>
    <n v="3.69"/>
    <n v="30.7"/>
    <n v="78.52"/>
    <n v="12"/>
    <n v="0"/>
    <n v="59.391999999999996"/>
    <n v="40.732000000000006"/>
    <n v="53.854799999999997"/>
    <x v="0"/>
    <x v="0"/>
    <x v="1"/>
  </r>
  <r>
    <x v="107"/>
    <x v="1"/>
    <x v="1"/>
    <n v="90.02"/>
    <n v="6"/>
    <n v="0.45"/>
    <n v="19.52"/>
    <n v="48.74"/>
    <n v="18"/>
    <n v="0"/>
    <n v="37.052"/>
    <n v="48.908000000000001"/>
    <n v="45.903599999999997"/>
    <x v="0"/>
    <x v="0"/>
    <x v="1"/>
  </r>
  <r>
    <x v="108"/>
    <x v="6"/>
    <x v="0"/>
    <n v="61.69"/>
    <n v="9"/>
    <n v="3.5"/>
    <n v="67.849999999999994"/>
    <n v="94.54"/>
    <n v="0"/>
    <n v="2"/>
    <n v="83.864000000000004"/>
    <n v="57.676000000000002"/>
    <n v="67.621200000000002"/>
    <x v="1"/>
    <x v="0"/>
    <x v="1"/>
  </r>
  <r>
    <x v="109"/>
    <x v="0"/>
    <x v="0"/>
    <n v="77"/>
    <n v="9"/>
    <n v="9.2899999999999991"/>
    <n v="32.31"/>
    <n v="5.72"/>
    <n v="10"/>
    <n v="4"/>
    <n v="16.356000000000002"/>
    <n v="83.38"/>
    <n v="39.827600000000004"/>
    <x v="0"/>
    <x v="0"/>
    <x v="0"/>
  </r>
  <r>
    <x v="110"/>
    <x v="4"/>
    <x v="1"/>
    <n v="94"/>
    <n v="3"/>
    <n v="3.79"/>
    <n v="98.77"/>
    <n v="93.1"/>
    <n v="19"/>
    <n v="4"/>
    <n v="95.367999999999995"/>
    <n v="67.180000000000007"/>
    <n v="86.874799999999993"/>
    <x v="3"/>
    <x v="2"/>
    <x v="0"/>
  </r>
  <r>
    <x v="111"/>
    <x v="0"/>
    <x v="0"/>
    <n v="82.54"/>
    <n v="7"/>
    <n v="8.31"/>
    <n v="32.57"/>
    <n v="5.05"/>
    <n v="0"/>
    <n v="0"/>
    <n v="16.058"/>
    <n v="63.63600000000001"/>
    <n v="28.7256"/>
    <x v="0"/>
    <x v="0"/>
    <x v="0"/>
  </r>
  <r>
    <x v="112"/>
    <x v="4"/>
    <x v="0"/>
    <n v="76.650000000000006"/>
    <n v="5"/>
    <n v="8.42"/>
    <n v="39.409999999999997"/>
    <n v="54.73"/>
    <n v="7"/>
    <n v="2"/>
    <n v="48.60199999999999"/>
    <n v="65.5"/>
    <n v="52.311199999999992"/>
    <x v="0"/>
    <x v="0"/>
    <x v="0"/>
  </r>
  <r>
    <x v="113"/>
    <x v="6"/>
    <x v="1"/>
    <n v="66.22"/>
    <n v="3"/>
    <n v="3.73"/>
    <n v="60.33"/>
    <n v="89.04"/>
    <n v="4"/>
    <n v="2"/>
    <n v="77.555999999999997"/>
    <n v="47.948"/>
    <n v="62.917999999999999"/>
    <x v="1"/>
    <x v="0"/>
    <x v="1"/>
  </r>
  <r>
    <x v="114"/>
    <x v="0"/>
    <x v="0"/>
    <n v="66.650000000000006"/>
    <n v="3"/>
    <n v="6.32"/>
    <n v="80.17"/>
    <n v="26.27"/>
    <n v="16"/>
    <n v="0"/>
    <n v="47.830000000000005"/>
    <n v="45.300000000000004"/>
    <n v="50.288000000000004"/>
    <x v="0"/>
    <x v="0"/>
    <x v="0"/>
  </r>
  <r>
    <x v="115"/>
    <x v="1"/>
    <x v="2"/>
    <n v="83.47"/>
    <n v="1"/>
    <n v="0.95"/>
    <n v="46.95"/>
    <n v="47.22"/>
    <n v="7"/>
    <n v="5"/>
    <n v="47.111999999999995"/>
    <n v="57.287999999999997"/>
    <n v="48.953599999999994"/>
    <x v="0"/>
    <x v="0"/>
    <x v="1"/>
  </r>
  <r>
    <x v="116"/>
    <x v="7"/>
    <x v="1"/>
    <n v="99.71"/>
    <n v="1"/>
    <n v="1.04"/>
    <n v="42.27"/>
    <n v="32.43"/>
    <n v="9"/>
    <n v="5"/>
    <n v="36.366"/>
    <n v="63.963999999999999"/>
    <n v="45.508799999999994"/>
    <x v="0"/>
    <x v="0"/>
    <x v="2"/>
  </r>
  <r>
    <x v="117"/>
    <x v="6"/>
    <x v="1"/>
    <n v="83.09"/>
    <n v="3"/>
    <n v="0.49"/>
    <n v="99.56"/>
    <n v="95.21"/>
    <n v="1"/>
    <n v="1"/>
    <n v="96.95"/>
    <n v="44.216000000000001"/>
    <n v="71.934799999999996"/>
    <x v="2"/>
    <x v="2"/>
    <x v="1"/>
  </r>
  <r>
    <x v="118"/>
    <x v="4"/>
    <x v="0"/>
    <n v="77.89"/>
    <n v="4"/>
    <n v="5.81"/>
    <n v="1.05"/>
    <n v="82.36"/>
    <n v="8"/>
    <n v="0"/>
    <n v="49.835999999999999"/>
    <n v="50.776000000000003"/>
    <n v="49.134399999999999"/>
    <x v="0"/>
    <x v="0"/>
    <x v="0"/>
  </r>
  <r>
    <x v="119"/>
    <x v="2"/>
    <x v="0"/>
    <n v="86.53"/>
    <n v="7"/>
    <n v="4.26"/>
    <n v="89.51"/>
    <n v="70.900000000000006"/>
    <n v="2"/>
    <n v="1"/>
    <n v="78.343999999999994"/>
    <n v="61.132000000000005"/>
    <n v="66.345999999999989"/>
    <x v="1"/>
    <x v="2"/>
    <x v="1"/>
  </r>
  <r>
    <x v="120"/>
    <x v="4"/>
    <x v="1"/>
    <n v="73.260000000000005"/>
    <n v="5"/>
    <n v="5.48"/>
    <n v="14.91"/>
    <n v="58.76"/>
    <n v="17"/>
    <n v="5"/>
    <n v="41.22"/>
    <n v="70.26400000000001"/>
    <n v="54.311199999999999"/>
    <x v="0"/>
    <x v="0"/>
    <x v="0"/>
  </r>
  <r>
    <x v="121"/>
    <x v="2"/>
    <x v="1"/>
    <n v="53.01"/>
    <n v="3"/>
    <n v="5.21"/>
    <n v="78.59"/>
    <n v="82.06"/>
    <n v="6"/>
    <n v="5"/>
    <n v="80.671999999999997"/>
    <n v="57.624000000000002"/>
    <n v="68.690399999999997"/>
    <x v="1"/>
    <x v="0"/>
    <x v="1"/>
  </r>
  <r>
    <x v="122"/>
    <x v="5"/>
    <x v="1"/>
    <n v="78.11"/>
    <n v="10"/>
    <n v="3.5"/>
    <n v="61.79"/>
    <n v="39.229999999999997"/>
    <n v="14"/>
    <n v="0"/>
    <n v="48.253999999999998"/>
    <n v="58.244"/>
    <n v="53.425599999999996"/>
    <x v="0"/>
    <x v="0"/>
    <x v="2"/>
  </r>
  <r>
    <x v="123"/>
    <x v="0"/>
    <x v="0"/>
    <n v="97.88"/>
    <n v="6"/>
    <n v="6.77"/>
    <n v="34.18"/>
    <n v="44.76"/>
    <n v="19"/>
    <n v="1"/>
    <n v="40.527999999999999"/>
    <n v="68.692000000000007"/>
    <n v="54.424399999999999"/>
    <x v="0"/>
    <x v="0"/>
    <x v="0"/>
  </r>
  <r>
    <x v="124"/>
    <x v="2"/>
    <x v="0"/>
    <n v="58.77"/>
    <n v="7"/>
    <n v="7.59"/>
    <n v="87.39"/>
    <n v="73"/>
    <n v="17"/>
    <n v="1"/>
    <n v="78.756"/>
    <n v="56.688000000000002"/>
    <n v="72.759999999999991"/>
    <x v="2"/>
    <x v="0"/>
    <x v="1"/>
  </r>
  <r>
    <x v="125"/>
    <x v="4"/>
    <x v="1"/>
    <n v="84.5"/>
    <n v="1"/>
    <n v="0.15"/>
    <n v="1.29"/>
    <n v="35.78"/>
    <n v="2"/>
    <n v="0"/>
    <n v="21.984000000000002"/>
    <n v="36.1"/>
    <n v="25.020400000000002"/>
    <x v="0"/>
    <x v="0"/>
    <x v="0"/>
  </r>
  <r>
    <x v="126"/>
    <x v="5"/>
    <x v="0"/>
    <n v="60.05"/>
    <n v="6"/>
    <n v="2.0699999999999998"/>
    <n v="22.67"/>
    <n v="6.39"/>
    <n v="13"/>
    <n v="1"/>
    <n v="12.902000000000001"/>
    <n v="44.16"/>
    <n v="27.4892"/>
    <x v="0"/>
    <x v="0"/>
    <x v="2"/>
  </r>
  <r>
    <x v="127"/>
    <x v="7"/>
    <x v="0"/>
    <n v="76.790000000000006"/>
    <n v="1"/>
    <n v="7.13"/>
    <n v="56.69"/>
    <n v="7.43"/>
    <n v="1"/>
    <n v="3"/>
    <n v="27.134"/>
    <n v="58.976000000000006"/>
    <n v="34.473200000000006"/>
    <x v="0"/>
    <x v="0"/>
    <x v="2"/>
  </r>
  <r>
    <x v="128"/>
    <x v="1"/>
    <x v="1"/>
    <n v="54.83"/>
    <n v="1"/>
    <n v="3.87"/>
    <n v="35.15"/>
    <n v="11.54"/>
    <n v="13"/>
    <n v="5"/>
    <n v="20.984000000000002"/>
    <n v="51.672000000000004"/>
    <n v="34.591999999999999"/>
    <x v="0"/>
    <x v="1"/>
    <x v="1"/>
  </r>
  <r>
    <x v="129"/>
    <x v="1"/>
    <x v="1"/>
    <n v="72.52"/>
    <n v="7"/>
    <n v="6.62"/>
    <n v="61.04"/>
    <n v="86.97"/>
    <n v="10"/>
    <n v="4"/>
    <n v="76.597999999999999"/>
    <n v="72.24799999999999"/>
    <n v="72.633199999999988"/>
    <x v="2"/>
    <x v="2"/>
    <x v="1"/>
  </r>
  <r>
    <x v="130"/>
    <x v="1"/>
    <x v="0"/>
    <n v="87.81"/>
    <n v="1"/>
    <n v="3.47"/>
    <n v="2.41"/>
    <n v="47.22"/>
    <n v="15"/>
    <n v="2"/>
    <n v="29.295999999999996"/>
    <n v="52.064"/>
    <n v="40.696799999999996"/>
    <x v="0"/>
    <x v="0"/>
    <x v="1"/>
  </r>
  <r>
    <x v="131"/>
    <x v="2"/>
    <x v="0"/>
    <n v="67.38"/>
    <n v="10"/>
    <n v="3.91"/>
    <n v="11.65"/>
    <n v="71.290000000000006"/>
    <n v="7"/>
    <n v="1"/>
    <n v="47.433999999999997"/>
    <n v="58.771999999999998"/>
    <n v="49.591999999999999"/>
    <x v="0"/>
    <x v="0"/>
    <x v="1"/>
  </r>
  <r>
    <x v="132"/>
    <x v="7"/>
    <x v="0"/>
    <n v="83.25"/>
    <n v="8"/>
    <n v="1.59"/>
    <n v="12.71"/>
    <n v="39.29"/>
    <n v="6"/>
    <n v="1"/>
    <n v="28.657999999999998"/>
    <n v="56.480000000000004"/>
    <n v="37.138799999999996"/>
    <x v="0"/>
    <x v="0"/>
    <x v="2"/>
  </r>
  <r>
    <x v="133"/>
    <x v="2"/>
    <x v="0"/>
    <n v="89.77"/>
    <n v="0"/>
    <n v="2.58"/>
    <n v="18.93"/>
    <n v="25.87"/>
    <n v="10"/>
    <n v="2"/>
    <n v="23.094000000000001"/>
    <n v="49.067999999999998"/>
    <n v="33.576799999999999"/>
    <x v="0"/>
    <x v="0"/>
    <x v="1"/>
  </r>
  <r>
    <x v="134"/>
    <x v="0"/>
    <x v="1"/>
    <n v="96.36"/>
    <n v="8"/>
    <n v="6.05"/>
    <n v="45.93"/>
    <n v="34.72"/>
    <n v="2"/>
    <n v="1"/>
    <n v="39.203999999999994"/>
    <n v="70.644000000000005"/>
    <n v="45.715599999999995"/>
    <x v="0"/>
    <x v="0"/>
    <x v="0"/>
  </r>
  <r>
    <x v="135"/>
    <x v="2"/>
    <x v="1"/>
    <n v="61.73"/>
    <n v="0"/>
    <n v="4.33"/>
    <n v="75.209999999999994"/>
    <n v="79.42"/>
    <n v="16"/>
    <n v="2"/>
    <n v="77.736000000000004"/>
    <n v="41.352000000000004"/>
    <n v="67.047200000000004"/>
    <x v="1"/>
    <x v="0"/>
    <x v="1"/>
  </r>
  <r>
    <x v="136"/>
    <x v="7"/>
    <x v="0"/>
    <n v="69.97"/>
    <n v="9"/>
    <n v="7.74"/>
    <n v="90.55"/>
    <n v="62.52"/>
    <n v="13"/>
    <n v="0"/>
    <n v="73.731999999999999"/>
    <n v="61.468000000000004"/>
    <n v="69.179599999999994"/>
    <x v="1"/>
    <x v="0"/>
    <x v="2"/>
  </r>
  <r>
    <x v="137"/>
    <x v="7"/>
    <x v="1"/>
    <n v="57.62"/>
    <n v="9"/>
    <n v="8.5299999999999994"/>
    <n v="83.54"/>
    <n v="93.76"/>
    <n v="5"/>
    <n v="3"/>
    <n v="89.671999999999997"/>
    <n v="70.108000000000004"/>
    <n v="77.335599999999999"/>
    <x v="2"/>
    <x v="0"/>
    <x v="2"/>
  </r>
  <r>
    <x v="138"/>
    <x v="0"/>
    <x v="1"/>
    <n v="99.62"/>
    <n v="1"/>
    <n v="5.42"/>
    <n v="19.690000000000001"/>
    <n v="67.97"/>
    <n v="7"/>
    <n v="3"/>
    <n v="48.658000000000001"/>
    <n v="64.688000000000002"/>
    <n v="52.101200000000006"/>
    <x v="0"/>
    <x v="0"/>
    <x v="0"/>
  </r>
  <r>
    <x v="139"/>
    <x v="7"/>
    <x v="1"/>
    <n v="96.35"/>
    <n v="5"/>
    <n v="7.58"/>
    <n v="44.12"/>
    <n v="57.02"/>
    <n v="4"/>
    <n v="5"/>
    <n v="51.86"/>
    <n v="83.7"/>
    <n v="58.225999999999999"/>
    <x v="1"/>
    <x v="0"/>
    <x v="2"/>
  </r>
  <r>
    <x v="140"/>
    <x v="4"/>
    <x v="1"/>
    <n v="77"/>
    <n v="5"/>
    <n v="3.07"/>
    <n v="19.940000000000001"/>
    <n v="61.02"/>
    <n v="7"/>
    <n v="4"/>
    <n v="44.588000000000001"/>
    <n v="62.94"/>
    <n v="49.134799999999998"/>
    <x v="0"/>
    <x v="0"/>
    <x v="0"/>
  </r>
  <r>
    <x v="141"/>
    <x v="7"/>
    <x v="1"/>
    <n v="92.1"/>
    <n v="0"/>
    <n v="4.1500000000000004"/>
    <n v="26.45"/>
    <n v="94.24"/>
    <n v="1"/>
    <n v="1"/>
    <n v="67.123999999999995"/>
    <n v="49.14"/>
    <n v="55.51639999999999"/>
    <x v="1"/>
    <x v="2"/>
    <x v="2"/>
  </r>
  <r>
    <x v="142"/>
    <x v="1"/>
    <x v="1"/>
    <n v="76.05"/>
    <n v="6"/>
    <n v="7.13"/>
    <n v="50.35"/>
    <n v="78.819999999999993"/>
    <n v="14"/>
    <n v="4"/>
    <n v="67.431999999999988"/>
    <n v="72.680000000000007"/>
    <n v="69.263199999999983"/>
    <x v="1"/>
    <x v="2"/>
    <x v="1"/>
  </r>
  <r>
    <x v="143"/>
    <x v="4"/>
    <x v="1"/>
    <n v="81.180000000000007"/>
    <n v="7"/>
    <n v="3.86"/>
    <n v="6.81"/>
    <n v="2.4"/>
    <n v="11"/>
    <n v="0"/>
    <n v="4.1639999999999997"/>
    <n v="54.192"/>
    <n v="24.256"/>
    <x v="0"/>
    <x v="0"/>
    <x v="0"/>
  </r>
  <r>
    <x v="144"/>
    <x v="4"/>
    <x v="1"/>
    <n v="54.46"/>
    <n v="1"/>
    <n v="5.89"/>
    <n v="21.82"/>
    <n v="53.41"/>
    <n v="16"/>
    <n v="3"/>
    <n v="40.774000000000001"/>
    <n v="47.564"/>
    <n v="46.733600000000003"/>
    <x v="0"/>
    <x v="1"/>
    <x v="0"/>
  </r>
  <r>
    <x v="145"/>
    <x v="0"/>
    <x v="0"/>
    <n v="87.76"/>
    <n v="7"/>
    <n v="1.85"/>
    <n v="93.54"/>
    <n v="68.83"/>
    <n v="0"/>
    <n v="0"/>
    <n v="78.713999999999999"/>
    <n v="52.804000000000009"/>
    <n v="63.069600000000001"/>
    <x v="1"/>
    <x v="2"/>
    <x v="0"/>
  </r>
  <r>
    <x v="146"/>
    <x v="3"/>
    <x v="0"/>
    <n v="56.39"/>
    <n v="8"/>
    <n v="6"/>
    <n v="46.61"/>
    <n v="74.87"/>
    <n v="14"/>
    <n v="0"/>
    <n v="63.566000000000003"/>
    <n v="50.555999999999997"/>
    <n v="60.306399999999996"/>
    <x v="1"/>
    <x v="0"/>
    <x v="2"/>
  </r>
  <r>
    <x v="147"/>
    <x v="3"/>
    <x v="0"/>
    <n v="91.3"/>
    <n v="5"/>
    <n v="8.6199999999999992"/>
    <n v="44.54"/>
    <n v="21.31"/>
    <n v="13"/>
    <n v="1"/>
    <n v="30.601999999999997"/>
    <n v="67.760000000000005"/>
    <n v="45.1892"/>
    <x v="0"/>
    <x v="0"/>
    <x v="2"/>
  </r>
  <r>
    <x v="148"/>
    <x v="7"/>
    <x v="0"/>
    <n v="89.1"/>
    <n v="4"/>
    <n v="8.69"/>
    <n v="1.46"/>
    <n v="86.72"/>
    <n v="19"/>
    <n v="0"/>
    <n v="52.616"/>
    <n v="61.019999999999996"/>
    <n v="59.375599999999991"/>
    <x v="1"/>
    <x v="0"/>
    <x v="2"/>
  </r>
  <r>
    <x v="149"/>
    <x v="4"/>
    <x v="0"/>
    <n v="85.44"/>
    <n v="8"/>
    <n v="7.24"/>
    <n v="24.74"/>
    <n v="95.58"/>
    <n v="15"/>
    <n v="3"/>
    <n v="67.244"/>
    <n v="76.656000000000006"/>
    <n v="70.843199999999996"/>
    <x v="2"/>
    <x v="2"/>
    <x v="0"/>
  </r>
  <r>
    <x v="150"/>
    <x v="3"/>
    <x v="1"/>
    <n v="51.81"/>
    <n v="10"/>
    <n v="7.46"/>
    <n v="86.63"/>
    <n v="23.67"/>
    <n v="8"/>
    <n v="4"/>
    <n v="48.853999999999999"/>
    <n v="71.644000000000005"/>
    <n v="54.805599999999998"/>
    <x v="0"/>
    <x v="1"/>
    <x v="2"/>
  </r>
  <r>
    <x v="151"/>
    <x v="3"/>
    <x v="0"/>
    <n v="65.16"/>
    <n v="8"/>
    <n v="5.58"/>
    <n v="16.46"/>
    <n v="88.26"/>
    <n v="0"/>
    <n v="3"/>
    <n v="59.540000000000006"/>
    <n v="65.224000000000004"/>
    <n v="55.291200000000003"/>
    <x v="1"/>
    <x v="0"/>
    <x v="2"/>
  </r>
  <r>
    <x v="152"/>
    <x v="7"/>
    <x v="0"/>
    <n v="63.16"/>
    <n v="0"/>
    <n v="5.85"/>
    <n v="41.51"/>
    <n v="9.6999999999999993"/>
    <n v="16"/>
    <n v="1"/>
    <n v="22.423999999999999"/>
    <n v="40.963999999999999"/>
    <n v="33.743600000000001"/>
    <x v="0"/>
    <x v="0"/>
    <x v="2"/>
  </r>
  <r>
    <x v="153"/>
    <x v="3"/>
    <x v="0"/>
    <n v="68.010000000000005"/>
    <n v="10"/>
    <n v="1.34"/>
    <n v="1.43"/>
    <n v="5.57"/>
    <n v="12"/>
    <n v="3"/>
    <n v="3.9140000000000001"/>
    <n v="61.884000000000007"/>
    <n v="26.913600000000002"/>
    <x v="0"/>
    <x v="0"/>
    <x v="2"/>
  </r>
  <r>
    <x v="154"/>
    <x v="2"/>
    <x v="1"/>
    <n v="54.38"/>
    <n v="2"/>
    <n v="4.4400000000000004"/>
    <n v="47.83"/>
    <n v="12.92"/>
    <n v="4"/>
    <n v="2"/>
    <n v="26.884"/>
    <n v="42.632000000000005"/>
    <n v="30.92"/>
    <x v="0"/>
    <x v="1"/>
    <x v="1"/>
  </r>
  <r>
    <x v="155"/>
    <x v="5"/>
    <x v="1"/>
    <n v="96.85"/>
    <n v="8"/>
    <n v="4.51"/>
    <n v="2.1"/>
    <n v="5.77"/>
    <n v="9"/>
    <n v="4"/>
    <n v="4.3019999999999996"/>
    <n v="79.760000000000005"/>
    <n v="31.0092"/>
    <x v="0"/>
    <x v="0"/>
    <x v="2"/>
  </r>
  <r>
    <x v="156"/>
    <x v="0"/>
    <x v="1"/>
    <n v="77.69"/>
    <n v="10"/>
    <n v="9.58"/>
    <n v="81.96"/>
    <n v="84.5"/>
    <n v="5"/>
    <n v="2"/>
    <n v="83.483999999999995"/>
    <n v="78.236000000000004"/>
    <n v="76.061199999999999"/>
    <x v="2"/>
    <x v="2"/>
    <x v="0"/>
  </r>
  <r>
    <x v="157"/>
    <x v="5"/>
    <x v="1"/>
    <n v="65.28"/>
    <n v="1"/>
    <n v="4.3099999999999996"/>
    <n v="82.49"/>
    <n v="5.91"/>
    <n v="18"/>
    <n v="2"/>
    <n v="36.542000000000002"/>
    <n v="44.731999999999999"/>
    <n v="44.344799999999999"/>
    <x v="0"/>
    <x v="0"/>
    <x v="2"/>
  </r>
  <r>
    <x v="158"/>
    <x v="7"/>
    <x v="0"/>
    <n v="69.849999999999994"/>
    <n v="3"/>
    <n v="5.49"/>
    <n v="78.77"/>
    <n v="27.17"/>
    <n v="12"/>
    <n v="5"/>
    <n v="47.81"/>
    <n v="64.92"/>
    <n v="54.161999999999999"/>
    <x v="0"/>
    <x v="0"/>
    <x v="2"/>
  </r>
  <r>
    <x v="159"/>
    <x v="1"/>
    <x v="0"/>
    <n v="72.36"/>
    <n v="3"/>
    <n v="5.33"/>
    <n v="28.34"/>
    <n v="10.38"/>
    <n v="0"/>
    <n v="1"/>
    <n v="17.564"/>
    <n v="49.603999999999999"/>
    <n v="25.419599999999999"/>
    <x v="0"/>
    <x v="0"/>
    <x v="1"/>
  </r>
  <r>
    <x v="160"/>
    <x v="0"/>
    <x v="1"/>
    <n v="80.03"/>
    <n v="1"/>
    <n v="6.37"/>
    <n v="83.72"/>
    <n v="29.54"/>
    <n v="19"/>
    <n v="0"/>
    <n v="51.212000000000003"/>
    <n v="46.752000000000002"/>
    <n v="54.252800000000001"/>
    <x v="0"/>
    <x v="0"/>
    <x v="0"/>
  </r>
  <r>
    <x v="161"/>
    <x v="7"/>
    <x v="2"/>
    <n v="75.78"/>
    <n v="2"/>
    <n v="7.48"/>
    <n v="54.3"/>
    <n v="9.06"/>
    <n v="14"/>
    <n v="2"/>
    <n v="27.155999999999999"/>
    <n v="57.271999999999998"/>
    <n v="40.475200000000001"/>
    <x v="0"/>
    <x v="0"/>
    <x v="2"/>
  </r>
  <r>
    <x v="162"/>
    <x v="4"/>
    <x v="0"/>
    <n v="95.97"/>
    <n v="2"/>
    <n v="2.25"/>
    <n v="37.380000000000003"/>
    <n v="66.8"/>
    <n v="13"/>
    <n v="3"/>
    <n v="55.031999999999996"/>
    <n v="58.888000000000005"/>
    <n v="57.185599999999994"/>
    <x v="1"/>
    <x v="0"/>
    <x v="0"/>
  </r>
  <r>
    <x v="163"/>
    <x v="1"/>
    <x v="1"/>
    <n v="74.849999999999994"/>
    <n v="0"/>
    <n v="5.29"/>
    <n v="62.53"/>
    <n v="13.33"/>
    <n v="7"/>
    <n v="0"/>
    <n v="33.01"/>
    <n v="40.519999999999996"/>
    <n v="35.461999999999996"/>
    <x v="0"/>
    <x v="0"/>
    <x v="1"/>
  </r>
  <r>
    <x v="164"/>
    <x v="5"/>
    <x v="1"/>
    <n v="99.61"/>
    <n v="5"/>
    <n v="8.26"/>
    <n v="1.23"/>
    <n v="85.18"/>
    <n v="9"/>
    <n v="3"/>
    <n v="51.6"/>
    <n v="78.364000000000004"/>
    <n v="58.969200000000001"/>
    <x v="1"/>
    <x v="0"/>
    <x v="2"/>
  </r>
  <r>
    <x v="165"/>
    <x v="7"/>
    <x v="1"/>
    <n v="92.57"/>
    <n v="7"/>
    <n v="4.63"/>
    <n v="14.3"/>
    <n v="81.72"/>
    <n v="8"/>
    <n v="3"/>
    <n v="54.751999999999995"/>
    <n v="72.287999999999997"/>
    <n v="58.537599999999998"/>
    <x v="1"/>
    <x v="0"/>
    <x v="2"/>
  </r>
  <r>
    <x v="166"/>
    <x v="4"/>
    <x v="1"/>
    <n v="60.43"/>
    <n v="2"/>
    <n v="2.78"/>
    <n v="74.23"/>
    <n v="1.37"/>
    <n v="16"/>
    <n v="0"/>
    <n v="30.514000000000003"/>
    <n v="33.731999999999999"/>
    <n v="36.428000000000004"/>
    <x v="0"/>
    <x v="0"/>
    <x v="0"/>
  </r>
  <r>
    <x v="167"/>
    <x v="0"/>
    <x v="1"/>
    <n v="96.53"/>
    <n v="4"/>
    <n v="6.55"/>
    <n v="24.42"/>
    <n v="89.57"/>
    <n v="8"/>
    <n v="0"/>
    <n v="63.51"/>
    <n v="59.712000000000003"/>
    <n v="60.019599999999997"/>
    <x v="1"/>
    <x v="2"/>
    <x v="0"/>
  </r>
  <r>
    <x v="168"/>
    <x v="0"/>
    <x v="1"/>
    <n v="55.82"/>
    <n v="0"/>
    <n v="8.24"/>
    <n v="59.8"/>
    <n v="2.89"/>
    <n v="2"/>
    <n v="3"/>
    <n v="25.654000000000003"/>
    <n v="50.808000000000007"/>
    <n v="31.634800000000006"/>
    <x v="0"/>
    <x v="1"/>
    <x v="0"/>
  </r>
  <r>
    <x v="169"/>
    <x v="6"/>
    <x v="1"/>
    <n v="90.87"/>
    <n v="9"/>
    <n v="0.63"/>
    <n v="38.51"/>
    <n v="23.96"/>
    <n v="10"/>
    <n v="1"/>
    <n v="29.78"/>
    <n v="59.608000000000004"/>
    <n v="40.750399999999999"/>
    <x v="0"/>
    <x v="0"/>
    <x v="1"/>
  </r>
  <r>
    <x v="170"/>
    <x v="4"/>
    <x v="1"/>
    <n v="69.03"/>
    <n v="6"/>
    <n v="7.77"/>
    <n v="85.48"/>
    <n v="3.24"/>
    <n v="11"/>
    <n v="4"/>
    <n v="36.136000000000003"/>
    <n v="71.152000000000001"/>
    <n v="48.527200000000001"/>
    <x v="0"/>
    <x v="0"/>
    <x v="0"/>
  </r>
  <r>
    <x v="171"/>
    <x v="2"/>
    <x v="0"/>
    <n v="93.9"/>
    <n v="9"/>
    <n v="8.2200000000000006"/>
    <n v="95.24"/>
    <n v="33.58"/>
    <n v="9"/>
    <n v="5"/>
    <n v="58.244"/>
    <n v="92"/>
    <n v="67.046399999999991"/>
    <x v="1"/>
    <x v="0"/>
    <x v="1"/>
  </r>
  <r>
    <x v="172"/>
    <x v="3"/>
    <x v="1"/>
    <n v="93.4"/>
    <n v="0"/>
    <n v="4.62"/>
    <n v="88.36"/>
    <n v="51.39"/>
    <n v="16"/>
    <n v="4"/>
    <n v="66.177999999999997"/>
    <n v="62.600000000000009"/>
    <n v="66.486799999999988"/>
    <x v="1"/>
    <x v="2"/>
    <x v="2"/>
  </r>
  <r>
    <x v="173"/>
    <x v="1"/>
    <x v="0"/>
    <n v="90.3"/>
    <n v="10"/>
    <n v="9.83"/>
    <n v="27.06"/>
    <n v="79.66"/>
    <n v="16"/>
    <n v="1"/>
    <n v="58.62"/>
    <n v="79.78"/>
    <n v="67.105999999999995"/>
    <x v="1"/>
    <x v="0"/>
    <x v="1"/>
  </r>
  <r>
    <x v="174"/>
    <x v="4"/>
    <x v="1"/>
    <n v="89.5"/>
    <n v="8"/>
    <n v="7.87"/>
    <n v="19.420000000000002"/>
    <n v="33.799999999999997"/>
    <n v="10"/>
    <n v="5"/>
    <n v="28.047999999999998"/>
    <n v="87.54"/>
    <n v="48.090800000000002"/>
    <x v="0"/>
    <x v="0"/>
    <x v="0"/>
  </r>
  <r>
    <x v="175"/>
    <x v="6"/>
    <x v="2"/>
    <n v="65.23"/>
    <n v="7"/>
    <n v="7.74"/>
    <n v="47.44"/>
    <n v="70.55"/>
    <n v="3"/>
    <n v="0"/>
    <n v="61.305999999999997"/>
    <n v="55.572000000000003"/>
    <n v="54.955200000000005"/>
    <x v="0"/>
    <x v="0"/>
    <x v="1"/>
  </r>
  <r>
    <x v="176"/>
    <x v="3"/>
    <x v="1"/>
    <n v="54.05"/>
    <n v="6"/>
    <n v="7.48"/>
    <n v="0.73"/>
    <n v="18.75"/>
    <n v="6"/>
    <n v="5"/>
    <n v="11.542"/>
    <n v="68.580000000000013"/>
    <n v="30.499200000000002"/>
    <x v="0"/>
    <x v="1"/>
    <x v="2"/>
  </r>
  <r>
    <x v="177"/>
    <x v="3"/>
    <x v="1"/>
    <n v="70.150000000000006"/>
    <n v="9"/>
    <n v="1.51"/>
    <n v="2.58"/>
    <n v="75.06"/>
    <n v="13"/>
    <n v="3"/>
    <n v="46.067999999999998"/>
    <n v="61.080000000000005"/>
    <n v="52.464799999999997"/>
    <x v="0"/>
    <x v="0"/>
    <x v="2"/>
  </r>
  <r>
    <x v="178"/>
    <x v="7"/>
    <x v="2"/>
    <n v="58.68"/>
    <n v="6"/>
    <n v="2.17"/>
    <n v="55.33"/>
    <n v="23.6"/>
    <n v="6"/>
    <n v="4"/>
    <n v="36.292000000000002"/>
    <n v="55.811999999999998"/>
    <n v="41.518799999999999"/>
    <x v="0"/>
    <x v="1"/>
    <x v="2"/>
  </r>
  <r>
    <x v="179"/>
    <x v="3"/>
    <x v="0"/>
    <n v="84.75"/>
    <n v="4"/>
    <n v="4.6399999999999997"/>
    <n v="52.04"/>
    <n v="14.35"/>
    <n v="7"/>
    <n v="5"/>
    <n v="29.426000000000002"/>
    <n v="71.180000000000007"/>
    <n v="42.509600000000006"/>
    <x v="0"/>
    <x v="0"/>
    <x v="2"/>
  </r>
  <r>
    <x v="180"/>
    <x v="2"/>
    <x v="0"/>
    <n v="67.3"/>
    <n v="4"/>
    <n v="2.64"/>
    <n v="99.46"/>
    <n v="18.54"/>
    <n v="0"/>
    <n v="3"/>
    <n v="50.908000000000001"/>
    <n v="52.2"/>
    <n v="46.204799999999999"/>
    <x v="0"/>
    <x v="0"/>
    <x v="1"/>
  </r>
  <r>
    <x v="181"/>
    <x v="0"/>
    <x v="1"/>
    <n v="98.78"/>
    <n v="10"/>
    <n v="4.1500000000000004"/>
    <n v="20.18"/>
    <n v="18.21"/>
    <n v="3"/>
    <n v="1"/>
    <n v="18.998000000000001"/>
    <n v="71.811999999999998"/>
    <n v="34.442399999999999"/>
    <x v="0"/>
    <x v="0"/>
    <x v="0"/>
  </r>
  <r>
    <x v="182"/>
    <x v="6"/>
    <x v="1"/>
    <n v="82.05"/>
    <n v="4"/>
    <n v="8.8800000000000008"/>
    <n v="25.81"/>
    <n v="51.29"/>
    <n v="11"/>
    <n v="5"/>
    <n v="41.097999999999999"/>
    <n v="78.58"/>
    <n v="53.732799999999997"/>
    <x v="0"/>
    <x v="0"/>
    <x v="1"/>
  </r>
  <r>
    <x v="183"/>
    <x v="3"/>
    <x v="0"/>
    <n v="91.12"/>
    <n v="0"/>
    <n v="8.24"/>
    <n v="11.35"/>
    <n v="84.48"/>
    <n v="2"/>
    <n v="3"/>
    <n v="55.228000000000002"/>
    <n v="64.927999999999997"/>
    <n v="53.615200000000002"/>
    <x v="0"/>
    <x v="0"/>
    <x v="2"/>
  </r>
  <r>
    <x v="184"/>
    <x v="7"/>
    <x v="2"/>
    <n v="56.63"/>
    <n v="7"/>
    <n v="6.3"/>
    <n v="91.75"/>
    <n v="7.96"/>
    <n v="12"/>
    <n v="1"/>
    <n v="41.475999999999999"/>
    <n v="53.252000000000002"/>
    <n v="46.861199999999997"/>
    <x v="0"/>
    <x v="1"/>
    <x v="2"/>
  </r>
  <r>
    <x v="185"/>
    <x v="2"/>
    <x v="0"/>
    <n v="93.1"/>
    <n v="10"/>
    <n v="8.58"/>
    <n v="77.78"/>
    <n v="70.7"/>
    <n v="19"/>
    <n v="0"/>
    <n v="73.532000000000011"/>
    <n v="74.400000000000006"/>
    <n v="75.9392"/>
    <x v="2"/>
    <x v="2"/>
    <x v="1"/>
  </r>
  <r>
    <x v="186"/>
    <x v="5"/>
    <x v="0"/>
    <n v="96.14"/>
    <n v="0"/>
    <n v="7.84"/>
    <n v="82.23"/>
    <n v="65.430000000000007"/>
    <n v="5"/>
    <n v="1"/>
    <n v="72.150000000000006"/>
    <n v="58.136000000000003"/>
    <n v="63.230800000000002"/>
    <x v="1"/>
    <x v="2"/>
    <x v="2"/>
  </r>
  <r>
    <x v="187"/>
    <x v="0"/>
    <x v="1"/>
    <n v="74.349999999999994"/>
    <n v="3"/>
    <n v="4.29"/>
    <n v="90.28"/>
    <n v="87.25"/>
    <n v="10"/>
    <n v="1"/>
    <n v="88.462000000000003"/>
    <n v="48.319999999999993"/>
    <n v="72.5732"/>
    <x v="2"/>
    <x v="2"/>
    <x v="0"/>
  </r>
  <r>
    <x v="188"/>
    <x v="0"/>
    <x v="0"/>
    <n v="80.31"/>
    <n v="8"/>
    <n v="2.0099999999999998"/>
    <n v="52.49"/>
    <n v="24.41"/>
    <n v="3"/>
    <n v="4"/>
    <n v="35.642000000000003"/>
    <n v="68.144000000000005"/>
    <n v="43.328400000000002"/>
    <x v="0"/>
    <x v="0"/>
    <x v="0"/>
  </r>
  <r>
    <x v="189"/>
    <x v="6"/>
    <x v="1"/>
    <n v="88.24"/>
    <n v="8"/>
    <n v="5.14"/>
    <n v="45.12"/>
    <n v="45.01"/>
    <n v="19"/>
    <n v="3"/>
    <n v="45.053999999999995"/>
    <n v="73.575999999999993"/>
    <n v="58.605199999999996"/>
    <x v="1"/>
    <x v="0"/>
    <x v="1"/>
  </r>
  <r>
    <x v="190"/>
    <x v="0"/>
    <x v="1"/>
    <n v="58.74"/>
    <n v="4"/>
    <n v="7.36"/>
    <n v="33.04"/>
    <n v="92.58"/>
    <n v="15"/>
    <n v="5"/>
    <n v="68.763999999999996"/>
    <n v="66.216000000000008"/>
    <n v="68.623199999999997"/>
    <x v="1"/>
    <x v="0"/>
    <x v="0"/>
  </r>
  <r>
    <x v="191"/>
    <x v="3"/>
    <x v="1"/>
    <n v="75.13"/>
    <n v="3"/>
    <n v="4.3600000000000003"/>
    <n v="58.92"/>
    <n v="66"/>
    <n v="6"/>
    <n v="4"/>
    <n v="63.168000000000006"/>
    <n v="60.771999999999998"/>
    <n v="59.132400000000004"/>
    <x v="1"/>
    <x v="2"/>
    <x v="2"/>
  </r>
  <r>
    <x v="192"/>
    <x v="7"/>
    <x v="0"/>
    <n v="69.930000000000007"/>
    <n v="2"/>
    <n v="6.67"/>
    <n v="45.43"/>
    <n v="38.880000000000003"/>
    <n v="10"/>
    <n v="2"/>
    <n v="41.5"/>
    <n v="53.312000000000005"/>
    <n v="45.893599999999999"/>
    <x v="0"/>
    <x v="0"/>
    <x v="2"/>
  </r>
  <r>
    <x v="193"/>
    <x v="0"/>
    <x v="1"/>
    <n v="57.32"/>
    <n v="2"/>
    <n v="0.94"/>
    <n v="45.16"/>
    <n v="13.14"/>
    <n v="0"/>
    <n v="1"/>
    <n v="25.948"/>
    <n v="32.808"/>
    <n v="25.411200000000001"/>
    <x v="0"/>
    <x v="1"/>
    <x v="0"/>
  </r>
  <r>
    <x v="194"/>
    <x v="0"/>
    <x v="1"/>
    <n v="68.38"/>
    <n v="4"/>
    <n v="7.48"/>
    <n v="93.69"/>
    <n v="26.25"/>
    <n v="6"/>
    <n v="2"/>
    <n v="53.225999999999999"/>
    <n v="58.312000000000005"/>
    <n v="52.429199999999994"/>
    <x v="0"/>
    <x v="0"/>
    <x v="0"/>
  </r>
  <r>
    <x v="195"/>
    <x v="5"/>
    <x v="0"/>
    <n v="53.41"/>
    <n v="9"/>
    <n v="8.1300000000000008"/>
    <n v="98.4"/>
    <n v="58.12"/>
    <n v="11"/>
    <n v="4"/>
    <n v="74.231999999999999"/>
    <n v="71.624000000000009"/>
    <n v="71.526399999999995"/>
    <x v="2"/>
    <x v="0"/>
    <x v="2"/>
  </r>
  <r>
    <x v="196"/>
    <x v="5"/>
    <x v="1"/>
    <n v="51.29"/>
    <n v="0"/>
    <n v="7.07"/>
    <n v="79.650000000000006"/>
    <n v="71.819999999999993"/>
    <n v="6"/>
    <n v="3"/>
    <n v="74.951999999999998"/>
    <n v="46.656000000000006"/>
    <n v="61.967999999999996"/>
    <x v="1"/>
    <x v="0"/>
    <x v="2"/>
  </r>
  <r>
    <x v="197"/>
    <x v="1"/>
    <x v="0"/>
    <n v="56.76"/>
    <n v="4"/>
    <n v="9.67"/>
    <n v="75.680000000000007"/>
    <n v="12.44"/>
    <n v="6"/>
    <n v="4"/>
    <n v="37.736000000000004"/>
    <n v="66.043999999999997"/>
    <n v="45.454799999999999"/>
    <x v="0"/>
    <x v="1"/>
    <x v="1"/>
  </r>
  <r>
    <x v="198"/>
    <x v="2"/>
    <x v="1"/>
    <n v="98.16"/>
    <n v="5"/>
    <n v="8.27"/>
    <n v="68.06"/>
    <n v="59.96"/>
    <n v="9"/>
    <n v="3"/>
    <n v="63.2"/>
    <n v="77.804000000000002"/>
    <n v="65.761200000000002"/>
    <x v="1"/>
    <x v="2"/>
    <x v="1"/>
  </r>
  <r>
    <x v="199"/>
    <x v="3"/>
    <x v="0"/>
    <n v="77.48"/>
    <n v="6"/>
    <n v="9.0299999999999994"/>
    <n v="16.61"/>
    <n v="55.04"/>
    <n v="15"/>
    <n v="3"/>
    <n v="39.667999999999999"/>
    <n v="73.052000000000007"/>
    <n v="53.2164"/>
    <x v="0"/>
    <x v="0"/>
    <x v="2"/>
  </r>
  <r>
    <x v="200"/>
    <x v="0"/>
    <x v="0"/>
    <n v="98.29"/>
    <n v="8"/>
    <n v="9.34"/>
    <n v="5.91"/>
    <n v="51.4"/>
    <n v="7"/>
    <n v="0"/>
    <n v="33.203999999999994"/>
    <n v="73.996000000000009"/>
    <n v="45.621200000000002"/>
    <x v="0"/>
    <x v="0"/>
    <x v="0"/>
  </r>
  <r>
    <x v="201"/>
    <x v="4"/>
    <x v="1"/>
    <n v="71.62"/>
    <n v="2"/>
    <n v="8.01"/>
    <n v="69.069999999999993"/>
    <n v="69.010000000000005"/>
    <n v="8"/>
    <n v="1"/>
    <n v="69.033999999999992"/>
    <n v="52.668000000000006"/>
    <n v="61.220799999999997"/>
    <x v="1"/>
    <x v="2"/>
    <x v="0"/>
  </r>
  <r>
    <x v="202"/>
    <x v="0"/>
    <x v="1"/>
    <n v="65.59"/>
    <n v="1"/>
    <n v="6.74"/>
    <n v="72.88"/>
    <n v="83.74"/>
    <n v="8"/>
    <n v="4"/>
    <n v="79.395999999999987"/>
    <n v="57.716000000000008"/>
    <n v="68.952399999999997"/>
    <x v="1"/>
    <x v="0"/>
    <x v="0"/>
  </r>
  <r>
    <x v="203"/>
    <x v="7"/>
    <x v="1"/>
    <n v="75.31"/>
    <n v="2"/>
    <n v="0.06"/>
    <n v="4.7"/>
    <n v="32.299999999999997"/>
    <n v="1"/>
    <n v="3"/>
    <n v="21.259999999999998"/>
    <n v="46.244"/>
    <n v="27.129199999999997"/>
    <x v="0"/>
    <x v="0"/>
    <x v="2"/>
  </r>
  <r>
    <x v="204"/>
    <x v="1"/>
    <x v="1"/>
    <n v="71.98"/>
    <n v="8"/>
    <n v="4.66"/>
    <n v="92.81"/>
    <n v="88.9"/>
    <n v="12"/>
    <n v="4"/>
    <n v="90.463999999999999"/>
    <n v="70.111999999999995"/>
    <n v="81.311999999999998"/>
    <x v="2"/>
    <x v="2"/>
    <x v="1"/>
  </r>
  <r>
    <x v="205"/>
    <x v="2"/>
    <x v="2"/>
    <n v="55.28"/>
    <n v="6"/>
    <n v="5.71"/>
    <n v="9.11"/>
    <n v="16.059999999999999"/>
    <n v="12"/>
    <n v="4"/>
    <n v="13.28"/>
    <n v="61.532000000000004"/>
    <n v="32.427599999999998"/>
    <x v="0"/>
    <x v="1"/>
    <x v="1"/>
  </r>
  <r>
    <x v="206"/>
    <x v="4"/>
    <x v="1"/>
    <n v="82.04"/>
    <n v="8"/>
    <n v="3.04"/>
    <n v="28.59"/>
    <n v="17.3"/>
    <n v="3"/>
    <n v="3"/>
    <n v="21.816000000000003"/>
    <n v="66.896000000000001"/>
    <n v="34.6584"/>
    <x v="0"/>
    <x v="0"/>
    <x v="0"/>
  </r>
  <r>
    <x v="207"/>
    <x v="1"/>
    <x v="0"/>
    <n v="60.8"/>
    <n v="1"/>
    <n v="3.18"/>
    <n v="67.239999999999995"/>
    <n v="26.68"/>
    <n v="11"/>
    <n v="5"/>
    <n v="42.903999999999996"/>
    <n v="52.68"/>
    <n v="47.046399999999991"/>
    <x v="0"/>
    <x v="0"/>
    <x v="1"/>
  </r>
  <r>
    <x v="208"/>
    <x v="6"/>
    <x v="1"/>
    <n v="80.98"/>
    <n v="4"/>
    <n v="9.61"/>
    <n v="16.989999999999998"/>
    <n v="11.95"/>
    <n v="16"/>
    <n v="2"/>
    <n v="13.965999999999998"/>
    <n v="67.611999999999995"/>
    <n v="36.663199999999996"/>
    <x v="0"/>
    <x v="0"/>
    <x v="1"/>
  </r>
  <r>
    <x v="209"/>
    <x v="2"/>
    <x v="0"/>
    <n v="82.51"/>
    <n v="3"/>
    <n v="8.92"/>
    <n v="5.54"/>
    <n v="23.03"/>
    <n v="1"/>
    <n v="1"/>
    <n v="16.033999999999999"/>
    <n v="60.844000000000008"/>
    <n v="28.373600000000003"/>
    <x v="0"/>
    <x v="0"/>
    <x v="1"/>
  </r>
  <r>
    <x v="210"/>
    <x v="0"/>
    <x v="0"/>
    <n v="57.6"/>
    <n v="1"/>
    <n v="8.49"/>
    <n v="33.11"/>
    <n v="10.64"/>
    <n v="12"/>
    <n v="1"/>
    <n v="19.628"/>
    <n v="46.02"/>
    <n v="31.582799999999999"/>
    <x v="0"/>
    <x v="1"/>
    <x v="0"/>
  </r>
  <r>
    <x v="211"/>
    <x v="0"/>
    <x v="0"/>
    <n v="53.07"/>
    <n v="8"/>
    <n v="4.0599999999999996"/>
    <n v="76.599999999999994"/>
    <n v="82.18"/>
    <n v="17"/>
    <n v="5"/>
    <n v="79.948000000000008"/>
    <n v="65.347999999999999"/>
    <n v="76.0732"/>
    <x v="2"/>
    <x v="0"/>
    <x v="0"/>
  </r>
  <r>
    <x v="212"/>
    <x v="2"/>
    <x v="0"/>
    <n v="89.04"/>
    <n v="8"/>
    <n v="0.14000000000000001"/>
    <n v="41.37"/>
    <n v="13.9"/>
    <n v="14"/>
    <n v="0"/>
    <n v="24.887999999999998"/>
    <n v="51.896000000000008"/>
    <n v="37.501599999999996"/>
    <x v="0"/>
    <x v="0"/>
    <x v="1"/>
  </r>
  <r>
    <x v="213"/>
    <x v="0"/>
    <x v="1"/>
    <n v="72.989999999999995"/>
    <n v="5"/>
    <n v="0.8"/>
    <n v="65.3"/>
    <n v="74.73"/>
    <n v="7"/>
    <n v="5"/>
    <n v="70.957999999999998"/>
    <n v="60.795999999999999"/>
    <n v="64.313599999999994"/>
    <x v="1"/>
    <x v="2"/>
    <x v="0"/>
  </r>
  <r>
    <x v="214"/>
    <x v="3"/>
    <x v="1"/>
    <n v="52.91"/>
    <n v="10"/>
    <n v="3.12"/>
    <n v="57.96"/>
    <n v="4.79"/>
    <n v="14"/>
    <n v="0"/>
    <n v="26.058"/>
    <n v="47.404000000000003"/>
    <n v="36.856000000000002"/>
    <x v="0"/>
    <x v="1"/>
    <x v="2"/>
  </r>
  <r>
    <x v="215"/>
    <x v="2"/>
    <x v="2"/>
    <n v="99.74"/>
    <n v="5"/>
    <n v="0.16"/>
    <n v="2.2200000000000002"/>
    <n v="94.85"/>
    <n v="0"/>
    <n v="0"/>
    <n v="57.797999999999995"/>
    <n v="50.216000000000001"/>
    <n v="49.743599999999994"/>
    <x v="0"/>
    <x v="0"/>
    <x v="1"/>
  </r>
  <r>
    <x v="216"/>
    <x v="1"/>
    <x v="0"/>
    <n v="52.89"/>
    <n v="7"/>
    <n v="0.17"/>
    <n v="98.85"/>
    <n v="71.12"/>
    <n v="19"/>
    <n v="5"/>
    <n v="82.212000000000003"/>
    <n v="55.496000000000009"/>
    <n v="75.475999999999999"/>
    <x v="2"/>
    <x v="0"/>
    <x v="1"/>
  </r>
  <r>
    <x v="217"/>
    <x v="2"/>
    <x v="2"/>
    <n v="84.75"/>
    <n v="5"/>
    <n v="9.17"/>
    <n v="4.1399999999999997"/>
    <n v="0.68"/>
    <n v="9"/>
    <n v="1"/>
    <n v="2.0640000000000001"/>
    <n v="66.239999999999995"/>
    <n v="25.610399999999995"/>
    <x v="0"/>
    <x v="0"/>
    <x v="1"/>
  </r>
  <r>
    <x v="218"/>
    <x v="4"/>
    <x v="1"/>
    <n v="99.18"/>
    <n v="0"/>
    <n v="7.06"/>
    <n v="96.78"/>
    <n v="76.39"/>
    <n v="11"/>
    <n v="2"/>
    <n v="84.545999999999992"/>
    <n v="61.792000000000002"/>
    <n v="74.765199999999993"/>
    <x v="2"/>
    <x v="2"/>
    <x v="0"/>
  </r>
  <r>
    <x v="219"/>
    <x v="0"/>
    <x v="0"/>
    <n v="61.96"/>
    <n v="3"/>
    <n v="3.09"/>
    <n v="54.99"/>
    <n v="51.41"/>
    <n v="4"/>
    <n v="1"/>
    <n v="52.841999999999999"/>
    <n v="40.963999999999999"/>
    <n v="45.994399999999999"/>
    <x v="0"/>
    <x v="0"/>
    <x v="0"/>
  </r>
  <r>
    <x v="220"/>
    <x v="3"/>
    <x v="2"/>
    <n v="57.11"/>
    <n v="6"/>
    <n v="1.33"/>
    <n v="96.32"/>
    <n v="77.94"/>
    <n v="8"/>
    <n v="1"/>
    <n v="85.292000000000002"/>
    <n v="41.504000000000005"/>
    <n v="67.62639999999999"/>
    <x v="1"/>
    <x v="0"/>
    <x v="2"/>
  </r>
  <r>
    <x v="221"/>
    <x v="3"/>
    <x v="1"/>
    <n v="56.07"/>
    <n v="1"/>
    <n v="5.12"/>
    <n v="11.48"/>
    <n v="52.25"/>
    <n v="7"/>
    <n v="1"/>
    <n v="35.942"/>
    <n v="38.667999999999999"/>
    <n v="36.665599999999998"/>
    <x v="0"/>
    <x v="1"/>
    <x v="2"/>
  </r>
  <r>
    <x v="222"/>
    <x v="6"/>
    <x v="1"/>
    <n v="65.16"/>
    <n v="8"/>
    <n v="0.05"/>
    <n v="49.04"/>
    <n v="64.099999999999994"/>
    <n v="15"/>
    <n v="5"/>
    <n v="58.075999999999993"/>
    <n v="62.164000000000001"/>
    <n v="60.994799999999998"/>
    <x v="1"/>
    <x v="0"/>
    <x v="1"/>
  </r>
  <r>
    <x v="223"/>
    <x v="1"/>
    <x v="0"/>
    <n v="55.05"/>
    <n v="7"/>
    <n v="9.3800000000000008"/>
    <n v="16.95"/>
    <n v="78.63"/>
    <n v="13"/>
    <n v="5"/>
    <n v="53.957999999999998"/>
    <n v="74.78"/>
    <n v="61.308800000000005"/>
    <x v="1"/>
    <x v="0"/>
    <x v="1"/>
  </r>
  <r>
    <x v="224"/>
    <x v="5"/>
    <x v="0"/>
    <n v="84.61"/>
    <n v="7"/>
    <n v="4.1500000000000004"/>
    <n v="5.0999999999999996"/>
    <n v="40.51"/>
    <n v="12"/>
    <n v="5"/>
    <n v="26.345999999999997"/>
    <n v="76.144000000000005"/>
    <n v="44.650799999999997"/>
    <x v="0"/>
    <x v="0"/>
    <x v="2"/>
  </r>
  <r>
    <x v="225"/>
    <x v="5"/>
    <x v="0"/>
    <n v="53.11"/>
    <n v="6"/>
    <n v="4.0199999999999996"/>
    <n v="61.75"/>
    <n v="0.27"/>
    <n v="12"/>
    <n v="1"/>
    <n v="24.862000000000002"/>
    <n v="45.283999999999999"/>
    <n v="34.502400000000002"/>
    <x v="0"/>
    <x v="1"/>
    <x v="2"/>
  </r>
  <r>
    <x v="226"/>
    <x v="2"/>
    <x v="1"/>
    <n v="75.47"/>
    <n v="3"/>
    <n v="3.91"/>
    <n v="20.78"/>
    <n v="84.99"/>
    <n v="4"/>
    <n v="2"/>
    <n v="59.305999999999997"/>
    <n v="52.008000000000003"/>
    <n v="53.185999999999993"/>
    <x v="0"/>
    <x v="0"/>
    <x v="1"/>
  </r>
  <r>
    <x v="227"/>
    <x v="6"/>
    <x v="0"/>
    <n v="99.83"/>
    <n v="1"/>
    <n v="0.69"/>
    <n v="58.77"/>
    <n v="38.090000000000003"/>
    <n v="15"/>
    <n v="0"/>
    <n v="46.362000000000009"/>
    <n v="43.312000000000005"/>
    <n v="48.3108"/>
    <x v="0"/>
    <x v="0"/>
    <x v="1"/>
  </r>
  <r>
    <x v="228"/>
    <x v="7"/>
    <x v="1"/>
    <n v="90.7"/>
    <n v="2"/>
    <n v="6.38"/>
    <n v="11.24"/>
    <n v="49.6"/>
    <n v="10"/>
    <n v="4"/>
    <n v="34.256"/>
    <n v="69.039999999999992"/>
    <n v="46.265599999999992"/>
    <x v="0"/>
    <x v="0"/>
    <x v="2"/>
  </r>
  <r>
    <x v="229"/>
    <x v="2"/>
    <x v="1"/>
    <n v="80.760000000000005"/>
    <n v="5"/>
    <n v="7.33"/>
    <n v="33.200000000000003"/>
    <n v="0.78"/>
    <n v="4"/>
    <n v="0"/>
    <n v="13.748000000000001"/>
    <n v="56.963999999999999"/>
    <n v="27.338000000000001"/>
    <x v="0"/>
    <x v="0"/>
    <x v="1"/>
  </r>
  <r>
    <x v="230"/>
    <x v="6"/>
    <x v="1"/>
    <n v="65.31"/>
    <n v="4"/>
    <n v="6.76"/>
    <n v="78.16"/>
    <n v="49.21"/>
    <n v="12"/>
    <n v="0"/>
    <n v="60.79"/>
    <n v="47.644000000000005"/>
    <n v="56.767199999999995"/>
    <x v="1"/>
    <x v="0"/>
    <x v="1"/>
  </r>
  <r>
    <x v="231"/>
    <x v="1"/>
    <x v="0"/>
    <n v="81.19"/>
    <n v="7"/>
    <n v="1.38"/>
    <n v="43.71"/>
    <n v="98.65"/>
    <n v="10"/>
    <n v="4"/>
    <n v="76.674000000000007"/>
    <n v="65.23599999999999"/>
    <n v="70.575199999999995"/>
    <x v="2"/>
    <x v="2"/>
    <x v="1"/>
  </r>
  <r>
    <x v="232"/>
    <x v="1"/>
    <x v="0"/>
    <n v="76.349999999999994"/>
    <n v="5"/>
    <n v="5.79"/>
    <n v="62.77"/>
    <n v="27.83"/>
    <n v="18"/>
    <n v="1"/>
    <n v="41.805999999999997"/>
    <n v="56.12"/>
    <n v="50.919599999999996"/>
    <x v="0"/>
    <x v="0"/>
    <x v="1"/>
  </r>
  <r>
    <x v="233"/>
    <x v="1"/>
    <x v="0"/>
    <n v="71.3"/>
    <n v="5"/>
    <n v="5.69"/>
    <n v="64.75"/>
    <n v="39.54"/>
    <n v="2"/>
    <n v="2"/>
    <n v="49.624000000000002"/>
    <n v="57.9"/>
    <n v="48.144399999999997"/>
    <x v="0"/>
    <x v="0"/>
    <x v="1"/>
  </r>
  <r>
    <x v="234"/>
    <x v="1"/>
    <x v="1"/>
    <n v="56.54"/>
    <n v="0"/>
    <n v="8.68"/>
    <n v="84.38"/>
    <n v="68.72"/>
    <n v="14"/>
    <n v="2"/>
    <n v="74.984000000000009"/>
    <n v="47.975999999999999"/>
    <n v="66.383200000000002"/>
    <x v="1"/>
    <x v="0"/>
    <x v="1"/>
  </r>
  <r>
    <x v="235"/>
    <x v="1"/>
    <x v="0"/>
    <n v="94.33"/>
    <n v="3"/>
    <n v="3.79"/>
    <n v="32.49"/>
    <n v="81.48"/>
    <n v="6"/>
    <n v="0"/>
    <n v="61.884"/>
    <n v="51.311999999999998"/>
    <n v="55.524000000000001"/>
    <x v="1"/>
    <x v="2"/>
    <x v="1"/>
  </r>
  <r>
    <x v="236"/>
    <x v="6"/>
    <x v="1"/>
    <n v="72.489999999999995"/>
    <n v="4"/>
    <n v="3.71"/>
    <n v="68.73"/>
    <n v="41.74"/>
    <n v="6"/>
    <n v="4"/>
    <n v="52.536000000000001"/>
    <n v="60.415999999999997"/>
    <n v="52.6464"/>
    <x v="0"/>
    <x v="0"/>
    <x v="1"/>
  </r>
  <r>
    <x v="237"/>
    <x v="6"/>
    <x v="0"/>
    <n v="59.73"/>
    <n v="10"/>
    <n v="6.19"/>
    <n v="96.16"/>
    <n v="30.97"/>
    <n v="5"/>
    <n v="3"/>
    <n v="57.045999999999992"/>
    <n v="68.271999999999991"/>
    <n v="57.209199999999996"/>
    <x v="1"/>
    <x v="0"/>
    <x v="1"/>
  </r>
  <r>
    <x v="238"/>
    <x v="3"/>
    <x v="1"/>
    <n v="68.39"/>
    <n v="2"/>
    <n v="6.33"/>
    <n v="73.02"/>
    <n v="93.78"/>
    <n v="2"/>
    <n v="1"/>
    <n v="85.475999999999999"/>
    <n v="48.016000000000005"/>
    <n v="66.690399999999997"/>
    <x v="1"/>
    <x v="0"/>
    <x v="2"/>
  </r>
  <r>
    <x v="239"/>
    <x v="4"/>
    <x v="1"/>
    <n v="70.709999999999994"/>
    <n v="8"/>
    <n v="4.6900000000000004"/>
    <n v="48.99"/>
    <n v="67.709999999999994"/>
    <n v="12"/>
    <n v="0"/>
    <n v="60.222000000000001"/>
    <n v="53.664000000000001"/>
    <n v="58.232399999999998"/>
    <x v="1"/>
    <x v="2"/>
    <x v="0"/>
  </r>
  <r>
    <x v="240"/>
    <x v="5"/>
    <x v="0"/>
    <n v="91.38"/>
    <n v="0"/>
    <n v="4.43"/>
    <n v="63.07"/>
    <n v="11.9"/>
    <n v="6"/>
    <n v="2"/>
    <n v="32.368000000000002"/>
    <n v="53.411999999999999"/>
    <n v="38.444400000000002"/>
    <x v="0"/>
    <x v="0"/>
    <x v="2"/>
  </r>
  <r>
    <x v="241"/>
    <x v="0"/>
    <x v="1"/>
    <n v="86.68"/>
    <n v="5"/>
    <n v="4.9400000000000004"/>
    <n v="73.97"/>
    <n v="6.89"/>
    <n v="4"/>
    <n v="5"/>
    <n v="33.722000000000001"/>
    <n v="74.552000000000007"/>
    <n v="44.598799999999997"/>
    <x v="0"/>
    <x v="0"/>
    <x v="0"/>
  </r>
  <r>
    <x v="242"/>
    <x v="1"/>
    <x v="0"/>
    <n v="88.47"/>
    <n v="5"/>
    <n v="8.61"/>
    <n v="61.23"/>
    <n v="48.35"/>
    <n v="17"/>
    <n v="5"/>
    <n v="53.501999999999995"/>
    <n v="82.608000000000004"/>
    <n v="65.383600000000001"/>
    <x v="1"/>
    <x v="0"/>
    <x v="1"/>
  </r>
  <r>
    <x v="243"/>
    <x v="7"/>
    <x v="0"/>
    <n v="50.55"/>
    <n v="9"/>
    <n v="4.6100000000000003"/>
    <n v="1.67"/>
    <n v="22.01"/>
    <n v="7"/>
    <n v="4"/>
    <n v="13.874000000000001"/>
    <n v="63.44"/>
    <n v="30.856400000000001"/>
    <x v="0"/>
    <x v="1"/>
    <x v="2"/>
  </r>
  <r>
    <x v="244"/>
    <x v="0"/>
    <x v="1"/>
    <n v="70.81"/>
    <n v="4"/>
    <n v="9.4"/>
    <n v="19.48"/>
    <n v="25.4"/>
    <n v="16"/>
    <n v="4"/>
    <n v="23.032"/>
    <n v="71.123999999999995"/>
    <n v="43.156399999999998"/>
    <x v="0"/>
    <x v="0"/>
    <x v="0"/>
  </r>
  <r>
    <x v="245"/>
    <x v="6"/>
    <x v="0"/>
    <n v="74.069999999999993"/>
    <n v="4"/>
    <n v="5.04"/>
    <n v="81.05"/>
    <n v="87.77"/>
    <n v="19"/>
    <n v="0"/>
    <n v="85.081999999999994"/>
    <n v="47.707999999999998"/>
    <n v="74.861599999999996"/>
    <x v="2"/>
    <x v="2"/>
    <x v="1"/>
  </r>
  <r>
    <x v="246"/>
    <x v="7"/>
    <x v="1"/>
    <n v="50.96"/>
    <n v="9"/>
    <n v="9.49"/>
    <n v="27.27"/>
    <n v="8.9600000000000009"/>
    <n v="0"/>
    <n v="3"/>
    <n v="16.284000000000002"/>
    <n v="69.364000000000004"/>
    <n v="30.579599999999999"/>
    <x v="0"/>
    <x v="1"/>
    <x v="2"/>
  </r>
  <r>
    <x v="247"/>
    <x v="7"/>
    <x v="0"/>
    <n v="62.99"/>
    <n v="4"/>
    <n v="8.33"/>
    <n v="73.16"/>
    <n v="71.540000000000006"/>
    <n v="13"/>
    <n v="2"/>
    <n v="72.188000000000002"/>
    <n v="57.855999999999995"/>
    <n v="67.169600000000003"/>
    <x v="1"/>
    <x v="0"/>
    <x v="2"/>
  </r>
  <r>
    <x v="248"/>
    <x v="7"/>
    <x v="2"/>
    <n v="88.01"/>
    <n v="5"/>
    <n v="3.62"/>
    <n v="37.21"/>
    <n v="27.11"/>
    <n v="16"/>
    <n v="0"/>
    <n v="31.15"/>
    <n v="52.444000000000003"/>
    <n v="42.423199999999994"/>
    <x v="0"/>
    <x v="0"/>
    <x v="2"/>
  </r>
  <r>
    <x v="249"/>
    <x v="3"/>
    <x v="0"/>
    <n v="56.86"/>
    <n v="7"/>
    <n v="8.64"/>
    <n v="52.19"/>
    <n v="76.03"/>
    <n v="9"/>
    <n v="3"/>
    <n v="66.494"/>
    <n v="66.024000000000001"/>
    <n v="64.203599999999994"/>
    <x v="1"/>
    <x v="0"/>
    <x v="2"/>
  </r>
  <r>
    <x v="250"/>
    <x v="6"/>
    <x v="1"/>
    <n v="76.77"/>
    <n v="1"/>
    <n v="1.1000000000000001"/>
    <n v="6.8"/>
    <n v="72.239999999999995"/>
    <n v="11"/>
    <n v="4"/>
    <n v="46.063999999999993"/>
    <n v="50.908000000000001"/>
    <n v="48.410799999999995"/>
    <x v="0"/>
    <x v="0"/>
    <x v="1"/>
  </r>
  <r>
    <x v="251"/>
    <x v="7"/>
    <x v="2"/>
    <n v="60.76"/>
    <n v="5"/>
    <n v="9.25"/>
    <n v="18.12"/>
    <n v="0.74"/>
    <n v="15"/>
    <n v="5"/>
    <n v="7.6920000000000011"/>
    <n v="72.804000000000002"/>
    <n v="33.956400000000002"/>
    <x v="0"/>
    <x v="0"/>
    <x v="2"/>
  </r>
  <r>
    <x v="252"/>
    <x v="1"/>
    <x v="0"/>
    <n v="50.61"/>
    <n v="0"/>
    <n v="6.32"/>
    <n v="95.72"/>
    <n v="50.91"/>
    <n v="13"/>
    <n v="1"/>
    <n v="68.834000000000003"/>
    <n v="36.884"/>
    <n v="58.865600000000001"/>
    <x v="1"/>
    <x v="0"/>
    <x v="1"/>
  </r>
  <r>
    <x v="253"/>
    <x v="2"/>
    <x v="1"/>
    <n v="62.06"/>
    <n v="3"/>
    <n v="0.54"/>
    <n v="89.01"/>
    <n v="13.93"/>
    <n v="15"/>
    <n v="5"/>
    <n v="43.962000000000003"/>
    <n v="51.904000000000003"/>
    <n v="49.448400000000007"/>
    <x v="0"/>
    <x v="0"/>
    <x v="1"/>
  </r>
  <r>
    <x v="254"/>
    <x v="7"/>
    <x v="1"/>
    <n v="98.79"/>
    <n v="9"/>
    <n v="6.44"/>
    <n v="65.23"/>
    <n v="86.62"/>
    <n v="7"/>
    <n v="2"/>
    <n v="78.064000000000007"/>
    <n v="78.396000000000001"/>
    <n v="73.857200000000006"/>
    <x v="2"/>
    <x v="2"/>
    <x v="2"/>
  </r>
  <r>
    <x v="255"/>
    <x v="3"/>
    <x v="0"/>
    <n v="90.08"/>
    <n v="2"/>
    <n v="9.74"/>
    <n v="45.96"/>
    <n v="87.16"/>
    <n v="9"/>
    <n v="2"/>
    <n v="70.680000000000007"/>
    <n v="67.512"/>
    <n v="67.161599999999993"/>
    <x v="1"/>
    <x v="2"/>
    <x v="2"/>
  </r>
  <r>
    <x v="256"/>
    <x v="0"/>
    <x v="0"/>
    <n v="97.98"/>
    <n v="8"/>
    <n v="0.7"/>
    <n v="67.58"/>
    <n v="41.83"/>
    <n v="16"/>
    <n v="5"/>
    <n v="52.129999999999995"/>
    <n v="76.592000000000013"/>
    <n v="62.255600000000001"/>
    <x v="1"/>
    <x v="0"/>
    <x v="0"/>
  </r>
  <r>
    <x v="257"/>
    <x v="6"/>
    <x v="0"/>
    <n v="74.39"/>
    <n v="2"/>
    <n v="5.55"/>
    <n v="61.86"/>
    <n v="44.44"/>
    <n v="17"/>
    <n v="5"/>
    <n v="51.408000000000001"/>
    <n v="64.855999999999995"/>
    <n v="58.801599999999993"/>
    <x v="1"/>
    <x v="0"/>
    <x v="1"/>
  </r>
  <r>
    <x v="258"/>
    <x v="4"/>
    <x v="0"/>
    <n v="55.49"/>
    <n v="5"/>
    <n v="7.48"/>
    <n v="56.86"/>
    <n v="30.33"/>
    <n v="19"/>
    <n v="3"/>
    <n v="40.941999999999993"/>
    <n v="59.155999999999999"/>
    <n v="51.811999999999998"/>
    <x v="0"/>
    <x v="1"/>
    <x v="0"/>
  </r>
  <r>
    <x v="259"/>
    <x v="3"/>
    <x v="0"/>
    <n v="77.400000000000006"/>
    <n v="0"/>
    <n v="8.1"/>
    <n v="5.92"/>
    <n v="71.66"/>
    <n v="15"/>
    <n v="0"/>
    <n v="45.363999999999997"/>
    <n v="47.160000000000004"/>
    <n v="48.866399999999999"/>
    <x v="0"/>
    <x v="0"/>
    <x v="2"/>
  </r>
  <r>
    <x v="260"/>
    <x v="7"/>
    <x v="1"/>
    <n v="72.72"/>
    <n v="5"/>
    <n v="4.1399999999999997"/>
    <n v="63.28"/>
    <n v="35.869999999999997"/>
    <n v="16"/>
    <n v="4"/>
    <n v="46.834000000000003"/>
    <n v="63.368000000000002"/>
    <n v="55.110799999999998"/>
    <x v="1"/>
    <x v="0"/>
    <x v="2"/>
  </r>
  <r>
    <x v="261"/>
    <x v="6"/>
    <x v="1"/>
    <n v="92.22"/>
    <n v="3"/>
    <n v="2.04"/>
    <n v="76.89"/>
    <n v="26.78"/>
    <n v="15"/>
    <n v="3"/>
    <n v="46.823999999999998"/>
    <n v="58.967999999999996"/>
    <n v="53.28479999999999"/>
    <x v="0"/>
    <x v="0"/>
    <x v="1"/>
  </r>
  <r>
    <x v="262"/>
    <x v="2"/>
    <x v="1"/>
    <n v="54.9"/>
    <n v="7"/>
    <n v="0.42"/>
    <n v="99.41"/>
    <n v="43.22"/>
    <n v="18"/>
    <n v="1"/>
    <n v="65.695999999999998"/>
    <n v="40.800000000000004"/>
    <n v="60.657600000000002"/>
    <x v="1"/>
    <x v="0"/>
    <x v="1"/>
  </r>
  <r>
    <x v="263"/>
    <x v="7"/>
    <x v="0"/>
    <n v="74.41"/>
    <n v="10"/>
    <n v="5.8"/>
    <n v="1.1100000000000001"/>
    <n v="9.15"/>
    <n v="7"/>
    <n v="5"/>
    <n v="5.9340000000000002"/>
    <n v="81.364000000000004"/>
    <n v="31.469600000000003"/>
    <x v="0"/>
    <x v="0"/>
    <x v="2"/>
  </r>
  <r>
    <x v="264"/>
    <x v="3"/>
    <x v="1"/>
    <n v="57.5"/>
    <n v="8"/>
    <n v="4.53"/>
    <n v="73.02"/>
    <n v="74.66"/>
    <n v="5"/>
    <n v="1"/>
    <n v="74.003999999999991"/>
    <n v="52.06"/>
    <n v="62.520399999999995"/>
    <x v="1"/>
    <x v="0"/>
    <x v="2"/>
  </r>
  <r>
    <x v="265"/>
    <x v="5"/>
    <x v="0"/>
    <n v="66.23"/>
    <n v="3"/>
    <n v="9.49"/>
    <n v="57.18"/>
    <n v="1.26"/>
    <n v="5"/>
    <n v="1"/>
    <n v="23.628"/>
    <n v="55.472000000000008"/>
    <n v="33.318399999999997"/>
    <x v="0"/>
    <x v="0"/>
    <x v="2"/>
  </r>
  <r>
    <x v="266"/>
    <x v="1"/>
    <x v="0"/>
    <n v="86.87"/>
    <n v="9"/>
    <n v="0.61"/>
    <n v="43.41"/>
    <n v="64.45"/>
    <n v="8"/>
    <n v="3"/>
    <n v="56.034000000000006"/>
    <n v="65.968000000000004"/>
    <n v="57.410800000000009"/>
    <x v="1"/>
    <x v="0"/>
    <x v="1"/>
  </r>
  <r>
    <x v="267"/>
    <x v="4"/>
    <x v="0"/>
    <n v="73.8"/>
    <n v="9"/>
    <n v="6.85"/>
    <n v="12.76"/>
    <n v="18.29"/>
    <n v="3"/>
    <n v="4"/>
    <n v="16.077999999999999"/>
    <n v="77.22"/>
    <n v="34.312799999999996"/>
    <x v="0"/>
    <x v="0"/>
    <x v="0"/>
  </r>
  <r>
    <x v="268"/>
    <x v="0"/>
    <x v="1"/>
    <n v="68.790000000000006"/>
    <n v="5"/>
    <n v="0.25"/>
    <n v="40.909999999999997"/>
    <n v="23.24"/>
    <n v="11"/>
    <n v="2"/>
    <n v="30.308"/>
    <n v="46.016000000000005"/>
    <n v="37.489600000000003"/>
    <x v="0"/>
    <x v="0"/>
    <x v="0"/>
  </r>
  <r>
    <x v="269"/>
    <x v="3"/>
    <x v="0"/>
    <n v="69.72"/>
    <n v="0"/>
    <n v="1.71"/>
    <n v="35.44"/>
    <n v="63.56"/>
    <n v="11"/>
    <n v="0"/>
    <n v="52.312000000000005"/>
    <n v="31.308"/>
    <n v="46.279600000000002"/>
    <x v="0"/>
    <x v="0"/>
    <x v="2"/>
  </r>
  <r>
    <x v="270"/>
    <x v="6"/>
    <x v="1"/>
    <n v="72.97"/>
    <n v="3"/>
    <n v="4.54"/>
    <n v="30.28"/>
    <n v="99.29"/>
    <n v="16"/>
    <n v="2"/>
    <n v="71.686000000000007"/>
    <n v="52.268000000000001"/>
    <n v="66.692000000000007"/>
    <x v="1"/>
    <x v="2"/>
    <x v="1"/>
  </r>
  <r>
    <x v="271"/>
    <x v="4"/>
    <x v="0"/>
    <n v="89.25"/>
    <n v="6"/>
    <n v="4.55"/>
    <n v="73.09"/>
    <n v="77.77"/>
    <n v="14"/>
    <n v="4"/>
    <n v="75.897999999999996"/>
    <n v="72.800000000000011"/>
    <n v="74.378799999999998"/>
    <x v="2"/>
    <x v="2"/>
    <x v="0"/>
  </r>
  <r>
    <x v="272"/>
    <x v="4"/>
    <x v="1"/>
    <n v="94.6"/>
    <n v="0"/>
    <n v="6.86"/>
    <n v="70.069999999999993"/>
    <n v="22.58"/>
    <n v="8"/>
    <n v="2"/>
    <n v="41.575999999999993"/>
    <n v="59.559999999999995"/>
    <n v="46.813599999999994"/>
    <x v="0"/>
    <x v="0"/>
    <x v="0"/>
  </r>
  <r>
    <x v="273"/>
    <x v="4"/>
    <x v="1"/>
    <n v="97.77"/>
    <n v="7"/>
    <n v="9.1"/>
    <n v="58.9"/>
    <n v="17.600000000000001"/>
    <n v="6"/>
    <n v="5"/>
    <n v="34.120000000000005"/>
    <n v="91.308000000000007"/>
    <n v="50.864400000000003"/>
    <x v="0"/>
    <x v="0"/>
    <x v="0"/>
  </r>
  <r>
    <x v="274"/>
    <x v="7"/>
    <x v="0"/>
    <n v="89.35"/>
    <n v="9"/>
    <n v="6.39"/>
    <n v="93.87"/>
    <n v="86.62"/>
    <n v="9"/>
    <n v="5"/>
    <n v="89.52000000000001"/>
    <n v="86.52"/>
    <n v="84.168000000000006"/>
    <x v="2"/>
    <x v="2"/>
    <x v="2"/>
  </r>
  <r>
    <x v="275"/>
    <x v="1"/>
    <x v="1"/>
    <n v="65.77"/>
    <n v="10"/>
    <n v="9.5399999999999991"/>
    <n v="34.99"/>
    <n v="44.42"/>
    <n v="15"/>
    <n v="3"/>
    <n v="40.648000000000003"/>
    <n v="77.388000000000005"/>
    <n v="55.105199999999996"/>
    <x v="1"/>
    <x v="0"/>
    <x v="1"/>
  </r>
  <r>
    <x v="276"/>
    <x v="7"/>
    <x v="1"/>
    <n v="84.41"/>
    <n v="5"/>
    <n v="8.82"/>
    <n v="24.38"/>
    <n v="13.71"/>
    <n v="11"/>
    <n v="1"/>
    <n v="17.978000000000002"/>
    <n v="65.403999999999996"/>
    <n v="35.908000000000001"/>
    <x v="0"/>
    <x v="0"/>
    <x v="2"/>
  </r>
  <r>
    <x v="277"/>
    <x v="6"/>
    <x v="0"/>
    <n v="71.88"/>
    <n v="4"/>
    <n v="5.84"/>
    <n v="65.59"/>
    <n v="86.22"/>
    <n v="6"/>
    <n v="4"/>
    <n v="77.968000000000004"/>
    <n v="64.431999999999988"/>
    <n v="69.110399999999998"/>
    <x v="1"/>
    <x v="2"/>
    <x v="1"/>
  </r>
  <r>
    <x v="278"/>
    <x v="7"/>
    <x v="0"/>
    <n v="62.73"/>
    <n v="9"/>
    <n v="8.34"/>
    <n v="19.88"/>
    <n v="81.61"/>
    <n v="17"/>
    <n v="4"/>
    <n v="56.917999999999999"/>
    <n v="75.771999999999991"/>
    <n v="65.38239999999999"/>
    <x v="1"/>
    <x v="0"/>
    <x v="2"/>
  </r>
  <r>
    <x v="279"/>
    <x v="5"/>
    <x v="0"/>
    <n v="92.04"/>
    <n v="10"/>
    <n v="6.43"/>
    <n v="31.5"/>
    <n v="98.39"/>
    <n v="14"/>
    <n v="2"/>
    <n v="71.634"/>
    <n v="77.676000000000002"/>
    <n v="73.283199999999994"/>
    <x v="2"/>
    <x v="2"/>
    <x v="2"/>
  </r>
  <r>
    <x v="280"/>
    <x v="1"/>
    <x v="0"/>
    <n v="51.92"/>
    <n v="8"/>
    <n v="0.79"/>
    <n v="22.46"/>
    <n v="90.97"/>
    <n v="5"/>
    <n v="3"/>
    <n v="63.566000000000003"/>
    <n v="50.347999999999999"/>
    <n v="55.744"/>
    <x v="1"/>
    <x v="0"/>
    <x v="1"/>
  </r>
  <r>
    <x v="281"/>
    <x v="1"/>
    <x v="0"/>
    <n v="95.09"/>
    <n v="1"/>
    <n v="7.41"/>
    <n v="6.92"/>
    <n v="85.18"/>
    <n v="11"/>
    <n v="2"/>
    <n v="53.876000000000005"/>
    <n v="62.856000000000002"/>
    <n v="56.682400000000001"/>
    <x v="1"/>
    <x v="0"/>
    <x v="1"/>
  </r>
  <r>
    <x v="282"/>
    <x v="6"/>
    <x v="1"/>
    <n v="73.069999999999993"/>
    <n v="4"/>
    <n v="0.95"/>
    <n v="82.75"/>
    <n v="5.26"/>
    <n v="10"/>
    <n v="2"/>
    <n v="36.256"/>
    <n v="47.127999999999993"/>
    <n v="40.891999999999996"/>
    <x v="0"/>
    <x v="0"/>
    <x v="1"/>
  </r>
  <r>
    <x v="283"/>
    <x v="0"/>
    <x v="1"/>
    <n v="81.86"/>
    <n v="5"/>
    <n v="5.94"/>
    <n v="25.45"/>
    <n v="10.44"/>
    <n v="19"/>
    <n v="4"/>
    <n v="16.443999999999999"/>
    <n v="70.623999999999995"/>
    <n v="40.553599999999996"/>
    <x v="0"/>
    <x v="0"/>
    <x v="0"/>
  </r>
  <r>
    <x v="284"/>
    <x v="5"/>
    <x v="1"/>
    <n v="82.97"/>
    <n v="6"/>
    <n v="7.03"/>
    <n v="47.3"/>
    <n v="56.9"/>
    <n v="2"/>
    <n v="2"/>
    <n v="53.06"/>
    <n v="67.248000000000005"/>
    <n v="53.010400000000004"/>
    <x v="0"/>
    <x v="0"/>
    <x v="2"/>
  </r>
  <r>
    <x v="285"/>
    <x v="3"/>
    <x v="2"/>
    <n v="94.76"/>
    <n v="4"/>
    <n v="0.67"/>
    <n v="4.33"/>
    <n v="53.15"/>
    <n v="1"/>
    <n v="1"/>
    <n v="33.622"/>
    <n v="51.244000000000007"/>
    <n v="36.046399999999998"/>
    <x v="0"/>
    <x v="0"/>
    <x v="2"/>
  </r>
  <r>
    <x v="286"/>
    <x v="7"/>
    <x v="0"/>
    <n v="81.83"/>
    <n v="8"/>
    <n v="2.31"/>
    <n v="69.930000000000007"/>
    <n v="45.8"/>
    <n v="5"/>
    <n v="2"/>
    <n v="55.451999999999998"/>
    <n v="61.351999999999997"/>
    <n v="54.1768"/>
    <x v="0"/>
    <x v="0"/>
    <x v="2"/>
  </r>
  <r>
    <x v="287"/>
    <x v="2"/>
    <x v="1"/>
    <n v="80.7"/>
    <n v="0"/>
    <n v="9.16"/>
    <n v="33.06"/>
    <n v="39.68"/>
    <n v="4"/>
    <n v="1"/>
    <n v="37.032000000000004"/>
    <n v="54.6"/>
    <n v="40.599199999999996"/>
    <x v="0"/>
    <x v="0"/>
    <x v="1"/>
  </r>
  <r>
    <x v="288"/>
    <x v="7"/>
    <x v="0"/>
    <n v="53.33"/>
    <n v="6"/>
    <n v="6.16"/>
    <n v="74.47"/>
    <n v="43.12"/>
    <n v="17"/>
    <n v="4"/>
    <n v="55.66"/>
    <n v="61.652000000000001"/>
    <n v="60.391599999999997"/>
    <x v="1"/>
    <x v="0"/>
    <x v="2"/>
  </r>
  <r>
    <x v="289"/>
    <x v="4"/>
    <x v="2"/>
    <n v="75.92"/>
    <n v="9"/>
    <n v="2.46"/>
    <n v="41.24"/>
    <n v="56.93"/>
    <n v="15"/>
    <n v="3"/>
    <n v="50.654000000000003"/>
    <n v="65.288000000000011"/>
    <n v="57.478800000000007"/>
    <x v="1"/>
    <x v="0"/>
    <x v="0"/>
  </r>
  <r>
    <x v="290"/>
    <x v="7"/>
    <x v="1"/>
    <n v="57.51"/>
    <n v="6"/>
    <n v="6.91"/>
    <n v="19.579999999999998"/>
    <n v="0.21"/>
    <n v="7"/>
    <n v="5"/>
    <n v="7.9580000000000002"/>
    <n v="68.824000000000012"/>
    <n v="28.922000000000001"/>
    <x v="0"/>
    <x v="1"/>
    <x v="2"/>
  </r>
  <r>
    <x v="291"/>
    <x v="3"/>
    <x v="0"/>
    <n v="86.87"/>
    <n v="3"/>
    <n v="5.97"/>
    <n v="51.32"/>
    <n v="26.07"/>
    <n v="19"/>
    <n v="1"/>
    <n v="36.17"/>
    <n v="56.688000000000002"/>
    <n v="48.208399999999997"/>
    <x v="0"/>
    <x v="0"/>
    <x v="2"/>
  </r>
  <r>
    <x v="292"/>
    <x v="7"/>
    <x v="0"/>
    <n v="75.61"/>
    <n v="8"/>
    <n v="5.0199999999999996"/>
    <n v="13.05"/>
    <n v="51.83"/>
    <n v="10"/>
    <n v="3"/>
    <n v="36.317999999999998"/>
    <n v="68.283999999999992"/>
    <n v="47.275999999999996"/>
    <x v="0"/>
    <x v="0"/>
    <x v="2"/>
  </r>
  <r>
    <x v="293"/>
    <x v="5"/>
    <x v="0"/>
    <n v="84.01"/>
    <n v="10"/>
    <n v="9.76"/>
    <n v="44.05"/>
    <n v="72.22"/>
    <n v="9"/>
    <n v="3"/>
    <n v="60.951999999999998"/>
    <n v="85.124000000000009"/>
    <n v="66.608400000000003"/>
    <x v="1"/>
    <x v="2"/>
    <x v="2"/>
  </r>
  <r>
    <x v="294"/>
    <x v="5"/>
    <x v="1"/>
    <n v="52.08"/>
    <n v="4"/>
    <n v="6.83"/>
    <n v="31.73"/>
    <n v="17.420000000000002"/>
    <n v="11"/>
    <n v="1"/>
    <n v="23.143999999999998"/>
    <n v="46.492000000000004"/>
    <n v="33.334000000000003"/>
    <x v="0"/>
    <x v="1"/>
    <x v="2"/>
  </r>
  <r>
    <x v="295"/>
    <x v="1"/>
    <x v="0"/>
    <n v="54.24"/>
    <n v="3"/>
    <n v="3.75"/>
    <n v="91.2"/>
    <n v="54.69"/>
    <n v="5"/>
    <n v="4"/>
    <n v="69.294000000000011"/>
    <n v="51.195999999999998"/>
    <n v="59.435200000000009"/>
    <x v="1"/>
    <x v="0"/>
    <x v="1"/>
  </r>
  <r>
    <x v="296"/>
    <x v="6"/>
    <x v="2"/>
    <n v="85.82"/>
    <n v="6"/>
    <n v="8"/>
    <n v="6.09"/>
    <n v="71.45"/>
    <n v="19"/>
    <n v="0"/>
    <n v="45.305999999999997"/>
    <n v="62.327999999999996"/>
    <n v="55.381999999999998"/>
    <x v="1"/>
    <x v="0"/>
    <x v="1"/>
  </r>
  <r>
    <x v="297"/>
    <x v="0"/>
    <x v="0"/>
    <n v="53.6"/>
    <n v="3"/>
    <n v="8.85"/>
    <n v="69.400000000000006"/>
    <n v="44.46"/>
    <n v="4"/>
    <n v="3"/>
    <n v="54.436000000000007"/>
    <n v="57.14"/>
    <n v="51.803600000000003"/>
    <x v="0"/>
    <x v="0"/>
    <x v="0"/>
  </r>
  <r>
    <x v="298"/>
    <x v="2"/>
    <x v="0"/>
    <n v="53.56"/>
    <n v="2"/>
    <n v="1.25"/>
    <n v="18.28"/>
    <n v="2.71"/>
    <n v="8"/>
    <n v="3"/>
    <n v="8.9380000000000006"/>
    <n v="39.924000000000007"/>
    <n v="21.340000000000003"/>
    <x v="0"/>
    <x v="1"/>
    <x v="1"/>
  </r>
  <r>
    <x v="299"/>
    <x v="4"/>
    <x v="2"/>
    <n v="50.61"/>
    <n v="8"/>
    <n v="2.0099999999999998"/>
    <n v="31.9"/>
    <n v="44.93"/>
    <n v="15"/>
    <n v="4"/>
    <n v="39.717999999999996"/>
    <n v="56.263999999999996"/>
    <n v="48.209999999999994"/>
    <x v="0"/>
    <x v="1"/>
    <x v="0"/>
  </r>
  <r>
    <x v="300"/>
    <x v="7"/>
    <x v="0"/>
    <n v="97.83"/>
    <n v="10"/>
    <n v="2.16"/>
    <n v="41.55"/>
    <n v="29.64"/>
    <n v="13"/>
    <n v="4"/>
    <n v="34.403999999999996"/>
    <n v="79.451999999999998"/>
    <n v="50.977999999999994"/>
    <x v="0"/>
    <x v="0"/>
    <x v="2"/>
  </r>
  <r>
    <x v="301"/>
    <x v="7"/>
    <x v="1"/>
    <n v="86.88"/>
    <n v="7"/>
    <n v="6.91"/>
    <n v="90.8"/>
    <n v="92.96"/>
    <n v="7"/>
    <n v="2"/>
    <n v="92.096000000000004"/>
    <n v="70.572000000000003"/>
    <n v="79.929200000000009"/>
    <x v="2"/>
    <x v="2"/>
    <x v="2"/>
  </r>
  <r>
    <x v="302"/>
    <x v="3"/>
    <x v="0"/>
    <n v="67.66"/>
    <n v="0"/>
    <n v="6.03"/>
    <n v="24.26"/>
    <n v="12.46"/>
    <n v="19"/>
    <n v="4"/>
    <n v="17.18"/>
    <n v="55.124000000000002"/>
    <n v="36.345199999999998"/>
    <x v="0"/>
    <x v="0"/>
    <x v="2"/>
  </r>
  <r>
    <x v="303"/>
    <x v="6"/>
    <x v="0"/>
    <n v="64.83"/>
    <n v="6"/>
    <n v="6.19"/>
    <n v="9.1300000000000008"/>
    <n v="65.25"/>
    <n v="18"/>
    <n v="3"/>
    <n v="42.802"/>
    <n v="62.312000000000005"/>
    <n v="53.3748"/>
    <x v="0"/>
    <x v="0"/>
    <x v="1"/>
  </r>
  <r>
    <x v="304"/>
    <x v="5"/>
    <x v="1"/>
    <n v="67.489999999999995"/>
    <n v="8"/>
    <n v="9.41"/>
    <n v="31.87"/>
    <n v="5.27"/>
    <n v="13"/>
    <n v="1"/>
    <n v="15.91"/>
    <n v="65.816000000000003"/>
    <n v="35.790800000000004"/>
    <x v="0"/>
    <x v="0"/>
    <x v="2"/>
  </r>
  <r>
    <x v="305"/>
    <x v="2"/>
    <x v="0"/>
    <n v="88.73"/>
    <n v="7"/>
    <n v="7.76"/>
    <n v="10.47"/>
    <n v="44.62"/>
    <n v="6"/>
    <n v="0"/>
    <n v="30.96"/>
    <n v="65.012"/>
    <n v="41.079599999999999"/>
    <x v="0"/>
    <x v="0"/>
    <x v="1"/>
  </r>
  <r>
    <x v="306"/>
    <x v="1"/>
    <x v="2"/>
    <n v="83.07"/>
    <n v="7"/>
    <n v="1.28"/>
    <n v="12.86"/>
    <n v="55.4"/>
    <n v="4"/>
    <n v="2"/>
    <n v="38.383999999999993"/>
    <n v="57.788000000000004"/>
    <n v="42.366799999999998"/>
    <x v="0"/>
    <x v="0"/>
    <x v="1"/>
  </r>
  <r>
    <x v="307"/>
    <x v="5"/>
    <x v="2"/>
    <n v="59.26"/>
    <n v="5"/>
    <n v="3.48"/>
    <n v="57.39"/>
    <n v="29.8"/>
    <n v="17"/>
    <n v="1"/>
    <n v="40.835999999999999"/>
    <n v="44.664000000000001"/>
    <n v="46.400800000000004"/>
    <x v="0"/>
    <x v="1"/>
    <x v="2"/>
  </r>
  <r>
    <x v="308"/>
    <x v="4"/>
    <x v="0"/>
    <n v="58.71"/>
    <n v="10"/>
    <n v="4.3499999999999996"/>
    <n v="6.09"/>
    <n v="45.51"/>
    <n v="1"/>
    <n v="0"/>
    <n v="29.741999999999997"/>
    <n v="52.183999999999997"/>
    <n v="34.000399999999999"/>
    <x v="0"/>
    <x v="1"/>
    <x v="0"/>
  </r>
  <r>
    <x v="309"/>
    <x v="6"/>
    <x v="1"/>
    <n v="54.92"/>
    <n v="3"/>
    <n v="3.96"/>
    <n v="3.09"/>
    <n v="16.36"/>
    <n v="10"/>
    <n v="0"/>
    <n v="11.052"/>
    <n v="35.888000000000005"/>
    <n v="22.397600000000001"/>
    <x v="0"/>
    <x v="1"/>
    <x v="1"/>
  </r>
  <r>
    <x v="310"/>
    <x v="4"/>
    <x v="2"/>
    <n v="83.02"/>
    <n v="7"/>
    <n v="6.69"/>
    <n v="71.44"/>
    <n v="30.41"/>
    <n v="7"/>
    <n v="0"/>
    <n v="46.822000000000003"/>
    <n v="60.588000000000001"/>
    <n v="49.769599999999997"/>
    <x v="0"/>
    <x v="0"/>
    <x v="0"/>
  </r>
  <r>
    <x v="311"/>
    <x v="0"/>
    <x v="0"/>
    <n v="88.22"/>
    <n v="2"/>
    <n v="8.92"/>
    <n v="36.159999999999997"/>
    <n v="62.11"/>
    <n v="0"/>
    <n v="5"/>
    <n v="51.73"/>
    <n v="77.128"/>
    <n v="54.176400000000001"/>
    <x v="0"/>
    <x v="0"/>
    <x v="0"/>
  </r>
  <r>
    <x v="312"/>
    <x v="1"/>
    <x v="1"/>
    <n v="63.25"/>
    <n v="8"/>
    <n v="3.06"/>
    <n v="12.54"/>
    <n v="30.18"/>
    <n v="11"/>
    <n v="1"/>
    <n v="23.124000000000002"/>
    <n v="51.419999999999995"/>
    <n v="34.800400000000003"/>
    <x v="0"/>
    <x v="0"/>
    <x v="1"/>
  </r>
  <r>
    <x v="313"/>
    <x v="0"/>
    <x v="2"/>
    <n v="51.05"/>
    <n v="1"/>
    <n v="5.52"/>
    <n v="25.36"/>
    <n v="89.97"/>
    <n v="1"/>
    <n v="2"/>
    <n v="64.126000000000005"/>
    <n v="41.46"/>
    <n v="51.413600000000002"/>
    <x v="0"/>
    <x v="0"/>
    <x v="0"/>
  </r>
  <r>
    <x v="314"/>
    <x v="3"/>
    <x v="0"/>
    <n v="54.11"/>
    <n v="1"/>
    <n v="7.89"/>
    <n v="64.209999999999994"/>
    <n v="62.84"/>
    <n v="17"/>
    <n v="2"/>
    <n v="63.387999999999998"/>
    <n v="47.423999999999999"/>
    <n v="60.759999999999991"/>
    <x v="1"/>
    <x v="0"/>
    <x v="2"/>
  </r>
  <r>
    <x v="315"/>
    <x v="4"/>
    <x v="0"/>
    <n v="98.39"/>
    <n v="6"/>
    <n v="4.16"/>
    <n v="27.55"/>
    <n v="43.86"/>
    <n v="6"/>
    <n v="0"/>
    <n v="37.335999999999999"/>
    <n v="59.676000000000002"/>
    <n v="43.304400000000001"/>
    <x v="0"/>
    <x v="0"/>
    <x v="0"/>
  </r>
  <r>
    <x v="316"/>
    <x v="3"/>
    <x v="0"/>
    <n v="64.77"/>
    <n v="9"/>
    <n v="1.68"/>
    <n v="49.45"/>
    <n v="3.88"/>
    <n v="16"/>
    <n v="1"/>
    <n v="22.108000000000001"/>
    <n v="51.268000000000001"/>
    <n v="36.645200000000003"/>
    <x v="0"/>
    <x v="0"/>
    <x v="2"/>
  </r>
  <r>
    <x v="317"/>
    <x v="7"/>
    <x v="1"/>
    <n v="88.46"/>
    <n v="3"/>
    <n v="4.75"/>
    <n v="12.17"/>
    <n v="49.95"/>
    <n v="13"/>
    <n v="5"/>
    <n v="34.838000000000001"/>
    <n v="70.884"/>
    <n v="48.667999999999999"/>
    <x v="0"/>
    <x v="0"/>
    <x v="2"/>
  </r>
  <r>
    <x v="318"/>
    <x v="0"/>
    <x v="1"/>
    <n v="81.23"/>
    <n v="9"/>
    <n v="0.55000000000000004"/>
    <n v="58.81"/>
    <n v="76.48"/>
    <n v="6"/>
    <n v="0"/>
    <n v="69.412000000000006"/>
    <n v="51.592000000000006"/>
    <n v="60.124800000000008"/>
    <x v="1"/>
    <x v="2"/>
    <x v="0"/>
  </r>
  <r>
    <x v="319"/>
    <x v="6"/>
    <x v="1"/>
    <n v="69.099999999999994"/>
    <n v="7"/>
    <n v="9.42"/>
    <n v="31.61"/>
    <n v="26.56"/>
    <n v="2"/>
    <n v="4"/>
    <n v="28.58"/>
    <n v="76.48"/>
    <n v="41.091999999999999"/>
    <x v="0"/>
    <x v="0"/>
    <x v="1"/>
  </r>
  <r>
    <x v="320"/>
    <x v="4"/>
    <x v="0"/>
    <n v="60.28"/>
    <n v="8"/>
    <n v="0.75"/>
    <n v="62.7"/>
    <n v="80.680000000000007"/>
    <n v="5"/>
    <n v="2"/>
    <n v="73.488"/>
    <n v="49.612000000000002"/>
    <n v="61.476399999999998"/>
    <x v="1"/>
    <x v="0"/>
    <x v="0"/>
  </r>
  <r>
    <x v="321"/>
    <x v="2"/>
    <x v="1"/>
    <n v="56.07"/>
    <n v="6"/>
    <n v="4.38"/>
    <n v="80.84"/>
    <n v="25.18"/>
    <n v="19"/>
    <n v="3"/>
    <n v="47.444000000000003"/>
    <n v="55.187999999999995"/>
    <n v="54.522799999999997"/>
    <x v="0"/>
    <x v="1"/>
    <x v="1"/>
  </r>
  <r>
    <x v="322"/>
    <x v="1"/>
    <x v="1"/>
    <n v="80.75"/>
    <n v="4"/>
    <n v="5.3"/>
    <n v="61.16"/>
    <n v="82.37"/>
    <n v="1"/>
    <n v="0"/>
    <n v="73.885999999999996"/>
    <n v="50.900000000000006"/>
    <n v="60.101599999999998"/>
    <x v="1"/>
    <x v="2"/>
    <x v="1"/>
  </r>
  <r>
    <x v="323"/>
    <x v="5"/>
    <x v="1"/>
    <n v="88.73"/>
    <n v="7"/>
    <n v="9.85"/>
    <n v="29.57"/>
    <n v="8.5299999999999994"/>
    <n v="16"/>
    <n v="4"/>
    <n v="16.946000000000002"/>
    <n v="85.192000000000007"/>
    <n v="43.725200000000001"/>
    <x v="0"/>
    <x v="0"/>
    <x v="2"/>
  </r>
  <r>
    <x v="324"/>
    <x v="6"/>
    <x v="0"/>
    <n v="82.2"/>
    <n v="3"/>
    <n v="1.66"/>
    <n v="25.57"/>
    <n v="86.62"/>
    <n v="11"/>
    <n v="2"/>
    <n v="62.2"/>
    <n v="50.2"/>
    <n v="57.88"/>
    <x v="1"/>
    <x v="2"/>
    <x v="1"/>
  </r>
  <r>
    <x v="325"/>
    <x v="6"/>
    <x v="2"/>
    <n v="76.52"/>
    <n v="1"/>
    <n v="1.1399999999999999"/>
    <n v="32.74"/>
    <n v="49.92"/>
    <n v="11"/>
    <n v="5"/>
    <n v="43.048000000000002"/>
    <n v="54.888000000000005"/>
    <n v="47.795200000000001"/>
    <x v="0"/>
    <x v="0"/>
    <x v="1"/>
  </r>
  <r>
    <x v="326"/>
    <x v="3"/>
    <x v="1"/>
    <n v="52.1"/>
    <n v="10"/>
    <n v="0.09"/>
    <n v="16.46"/>
    <n v="29.65"/>
    <n v="16"/>
    <n v="1"/>
    <n v="24.373999999999999"/>
    <n v="45.02"/>
    <n v="36.130399999999995"/>
    <x v="0"/>
    <x v="1"/>
    <x v="2"/>
  </r>
  <r>
    <x v="327"/>
    <x v="0"/>
    <x v="1"/>
    <n v="98.42"/>
    <n v="5"/>
    <n v="1.56"/>
    <n v="18.12"/>
    <n v="26.51"/>
    <n v="9"/>
    <n v="2"/>
    <n v="23.154000000000003"/>
    <n v="60.488"/>
    <n v="36.538800000000002"/>
    <x v="0"/>
    <x v="0"/>
    <x v="0"/>
  </r>
  <r>
    <x v="328"/>
    <x v="4"/>
    <x v="0"/>
    <n v="89.94"/>
    <n v="8"/>
    <n v="2.0699999999999998"/>
    <n v="79.069999999999993"/>
    <n v="43.2"/>
    <n v="2"/>
    <n v="1"/>
    <n v="57.548000000000002"/>
    <n v="60.116"/>
    <n v="53.563599999999994"/>
    <x v="0"/>
    <x v="0"/>
    <x v="0"/>
  </r>
  <r>
    <x v="329"/>
    <x v="4"/>
    <x v="0"/>
    <n v="64.64"/>
    <n v="0"/>
    <n v="6.31"/>
    <n v="38.47"/>
    <n v="99.9"/>
    <n v="19"/>
    <n v="1"/>
    <n v="75.328000000000003"/>
    <n v="42.475999999999999"/>
    <n v="67.439599999999999"/>
    <x v="1"/>
    <x v="0"/>
    <x v="0"/>
  </r>
  <r>
    <x v="330"/>
    <x v="7"/>
    <x v="1"/>
    <n v="99"/>
    <n v="10"/>
    <n v="2.2000000000000002"/>
    <n v="43.6"/>
    <n v="22.03"/>
    <n v="17"/>
    <n v="5"/>
    <n v="30.658000000000001"/>
    <n v="84"/>
    <n v="52.094799999999999"/>
    <x v="0"/>
    <x v="0"/>
    <x v="2"/>
  </r>
  <r>
    <x v="331"/>
    <x v="7"/>
    <x v="0"/>
    <n v="80.09"/>
    <n v="9"/>
    <n v="0.21"/>
    <n v="59.4"/>
    <n v="10.32"/>
    <n v="12"/>
    <n v="5"/>
    <n v="29.952000000000002"/>
    <n v="70.456000000000003"/>
    <n v="45.108000000000004"/>
    <x v="0"/>
    <x v="0"/>
    <x v="2"/>
  </r>
  <r>
    <x v="332"/>
    <x v="1"/>
    <x v="1"/>
    <n v="79.12"/>
    <n v="6"/>
    <n v="8.27"/>
    <n v="58.97"/>
    <n v="58.5"/>
    <n v="11"/>
    <n v="0"/>
    <n v="58.688000000000002"/>
    <n v="60.188000000000002"/>
    <n v="58.769199999999998"/>
    <x v="1"/>
    <x v="0"/>
    <x v="1"/>
  </r>
  <r>
    <x v="333"/>
    <x v="3"/>
    <x v="1"/>
    <n v="87.4"/>
    <n v="9"/>
    <n v="3.66"/>
    <n v="6.74"/>
    <n v="48.85"/>
    <n v="16"/>
    <n v="0"/>
    <n v="32.006"/>
    <n v="60.28"/>
    <n v="45.287599999999998"/>
    <x v="0"/>
    <x v="0"/>
    <x v="2"/>
  </r>
  <r>
    <x v="334"/>
    <x v="6"/>
    <x v="0"/>
    <n v="90.59"/>
    <n v="8"/>
    <n v="3.54"/>
    <n v="83.15"/>
    <n v="52.42"/>
    <n v="3"/>
    <n v="2"/>
    <n v="64.712000000000003"/>
    <n v="67.316000000000003"/>
    <n v="60.521999999999998"/>
    <x v="1"/>
    <x v="2"/>
    <x v="1"/>
  </r>
  <r>
    <x v="335"/>
    <x v="4"/>
    <x v="1"/>
    <n v="82.82"/>
    <n v="9"/>
    <n v="3.02"/>
    <n v="17.73"/>
    <n v="66.69"/>
    <n v="9"/>
    <n v="5"/>
    <n v="47.105999999999995"/>
    <n v="77.168000000000006"/>
    <n v="55.914000000000001"/>
    <x v="1"/>
    <x v="0"/>
    <x v="0"/>
  </r>
  <r>
    <x v="336"/>
    <x v="2"/>
    <x v="2"/>
    <n v="56.4"/>
    <n v="8"/>
    <n v="9.75"/>
    <n v="72.31"/>
    <n v="26.71"/>
    <n v="10"/>
    <n v="4"/>
    <n v="44.95"/>
    <n v="74.06"/>
    <n v="54.188000000000002"/>
    <x v="0"/>
    <x v="1"/>
    <x v="1"/>
  </r>
  <r>
    <x v="337"/>
    <x v="3"/>
    <x v="1"/>
    <n v="66.91"/>
    <n v="9"/>
    <n v="1.7"/>
    <n v="77.27"/>
    <n v="91.07"/>
    <n v="5"/>
    <n v="2"/>
    <n v="85.55"/>
    <n v="56.163999999999994"/>
    <n v="70.679199999999994"/>
    <x v="2"/>
    <x v="0"/>
    <x v="2"/>
  </r>
  <r>
    <x v="338"/>
    <x v="1"/>
    <x v="0"/>
    <n v="96.4"/>
    <n v="10"/>
    <n v="8.98"/>
    <n v="71.489999999999995"/>
    <n v="43.57"/>
    <n v="5"/>
    <n v="3"/>
    <n v="54.738"/>
    <n v="88.52000000000001"/>
    <n v="61.898799999999994"/>
    <x v="1"/>
    <x v="0"/>
    <x v="1"/>
  </r>
  <r>
    <x v="339"/>
    <x v="1"/>
    <x v="0"/>
    <n v="61.23"/>
    <n v="2"/>
    <n v="7.77"/>
    <n v="57.9"/>
    <n v="12.91"/>
    <n v="8"/>
    <n v="1"/>
    <n v="30.905999999999999"/>
    <n v="48.031999999999996"/>
    <n v="36.953199999999995"/>
    <x v="0"/>
    <x v="0"/>
    <x v="1"/>
  </r>
  <r>
    <x v="340"/>
    <x v="3"/>
    <x v="1"/>
    <n v="68.61"/>
    <n v="10"/>
    <n v="0.76"/>
    <n v="1.46"/>
    <n v="74.23"/>
    <n v="14"/>
    <n v="1"/>
    <n v="45.122000000000007"/>
    <n v="52.964000000000006"/>
    <n v="49.962400000000002"/>
    <x v="0"/>
    <x v="0"/>
    <x v="2"/>
  </r>
  <r>
    <x v="341"/>
    <x v="1"/>
    <x v="0"/>
    <n v="71.599999999999994"/>
    <n v="4"/>
    <n v="9.8699999999999992"/>
    <n v="36.04"/>
    <n v="64.31"/>
    <n v="1"/>
    <n v="0"/>
    <n v="53.001999999999995"/>
    <n v="56.379999999999995"/>
    <n v="49.215199999999996"/>
    <x v="0"/>
    <x v="0"/>
    <x v="1"/>
  </r>
  <r>
    <x v="342"/>
    <x v="3"/>
    <x v="1"/>
    <n v="71.97"/>
    <n v="7"/>
    <n v="2.71"/>
    <n v="60.48"/>
    <n v="31.57"/>
    <n v="3"/>
    <n v="4"/>
    <n v="43.134"/>
    <n v="64.207999999999998"/>
    <n v="46.642799999999994"/>
    <x v="0"/>
    <x v="0"/>
    <x v="2"/>
  </r>
  <r>
    <x v="343"/>
    <x v="5"/>
    <x v="2"/>
    <n v="80.650000000000006"/>
    <n v="7"/>
    <n v="0.99"/>
    <n v="38.75"/>
    <n v="62.15"/>
    <n v="4"/>
    <n v="5"/>
    <n v="52.79"/>
    <n v="68.240000000000009"/>
    <n v="54.146000000000001"/>
    <x v="0"/>
    <x v="0"/>
    <x v="2"/>
  </r>
  <r>
    <x v="344"/>
    <x v="3"/>
    <x v="1"/>
    <n v="97.15"/>
    <n v="3"/>
    <n v="8.2899999999999991"/>
    <n v="86.35"/>
    <n v="21.99"/>
    <n v="16"/>
    <n v="5"/>
    <n v="47.733999999999995"/>
    <n v="81.44"/>
    <n v="61.072399999999995"/>
    <x v="1"/>
    <x v="0"/>
    <x v="2"/>
  </r>
  <r>
    <x v="345"/>
    <x v="0"/>
    <x v="1"/>
    <n v="62.03"/>
    <n v="10"/>
    <n v="7.07"/>
    <n v="30.88"/>
    <n v="44.48"/>
    <n v="7"/>
    <n v="0"/>
    <n v="39.04"/>
    <n v="58.951999999999998"/>
    <n v="44.6096"/>
    <x v="0"/>
    <x v="0"/>
    <x v="0"/>
  </r>
  <r>
    <x v="346"/>
    <x v="3"/>
    <x v="1"/>
    <n v="56.08"/>
    <n v="10"/>
    <n v="6.17"/>
    <n v="29.35"/>
    <n v="89.94"/>
    <n v="7"/>
    <n v="3"/>
    <n v="65.704000000000008"/>
    <n v="66.772000000000006"/>
    <n v="62.954000000000008"/>
    <x v="1"/>
    <x v="0"/>
    <x v="2"/>
  </r>
  <r>
    <x v="347"/>
    <x v="1"/>
    <x v="2"/>
    <n v="59.87"/>
    <n v="0"/>
    <n v="1.56"/>
    <n v="26.6"/>
    <n v="13.35"/>
    <n v="11"/>
    <n v="2"/>
    <n v="18.649999999999999"/>
    <n v="35.067999999999998"/>
    <n v="27.2104"/>
    <x v="0"/>
    <x v="1"/>
    <x v="1"/>
  </r>
  <r>
    <x v="348"/>
    <x v="4"/>
    <x v="0"/>
    <n v="94.35"/>
    <n v="0"/>
    <n v="4.78"/>
    <n v="33.28"/>
    <n v="38.67"/>
    <n v="7"/>
    <n v="2"/>
    <n v="36.514000000000003"/>
    <n v="55.300000000000004"/>
    <n v="41.998400000000004"/>
    <x v="0"/>
    <x v="0"/>
    <x v="0"/>
  </r>
  <r>
    <x v="349"/>
    <x v="0"/>
    <x v="0"/>
    <n v="82.29"/>
    <n v="3"/>
    <n v="7.81"/>
    <n v="55.74"/>
    <n v="82.11"/>
    <n v="18"/>
    <n v="4"/>
    <n v="71.561999999999998"/>
    <n v="70.536000000000001"/>
    <n v="73.097999999999999"/>
    <x v="2"/>
    <x v="2"/>
    <x v="0"/>
  </r>
  <r>
    <x v="350"/>
    <x v="1"/>
    <x v="1"/>
    <n v="64.3"/>
    <n v="5"/>
    <n v="3.04"/>
    <n v="70.7"/>
    <n v="96.95"/>
    <n v="2"/>
    <n v="0"/>
    <n v="86.45"/>
    <n v="41.8"/>
    <n v="65.41"/>
    <x v="1"/>
    <x v="0"/>
    <x v="1"/>
  </r>
  <r>
    <x v="351"/>
    <x v="7"/>
    <x v="0"/>
    <n v="90.8"/>
    <n v="7"/>
    <n v="3.12"/>
    <n v="66.260000000000005"/>
    <n v="45.39"/>
    <n v="17"/>
    <n v="0"/>
    <n v="53.738"/>
    <n v="56.56"/>
    <n v="57.710799999999992"/>
    <x v="1"/>
    <x v="0"/>
    <x v="2"/>
  </r>
  <r>
    <x v="352"/>
    <x v="7"/>
    <x v="1"/>
    <n v="93.07"/>
    <n v="5"/>
    <n v="0.03"/>
    <n v="80.77"/>
    <n v="50.7"/>
    <n v="18"/>
    <n v="3"/>
    <n v="62.728000000000002"/>
    <n v="59.288000000000004"/>
    <n v="64.423200000000008"/>
    <x v="1"/>
    <x v="2"/>
    <x v="2"/>
  </r>
  <r>
    <x v="353"/>
    <x v="4"/>
    <x v="0"/>
    <n v="92.33"/>
    <n v="8"/>
    <n v="1.74"/>
    <n v="88.59"/>
    <n v="57.22"/>
    <n v="18"/>
    <n v="2"/>
    <n v="69.768000000000001"/>
    <n v="64.412000000000006"/>
    <n v="70.184399999999997"/>
    <x v="2"/>
    <x v="2"/>
    <x v="0"/>
  </r>
  <r>
    <x v="354"/>
    <x v="4"/>
    <x v="1"/>
    <n v="95.95"/>
    <n v="8"/>
    <n v="8.75"/>
    <n v="81.61"/>
    <n v="93.23"/>
    <n v="14"/>
    <n v="0"/>
    <n v="88.581999999999994"/>
    <n v="71.88"/>
    <n v="81.713199999999986"/>
    <x v="2"/>
    <x v="2"/>
    <x v="0"/>
  </r>
  <r>
    <x v="355"/>
    <x v="0"/>
    <x v="1"/>
    <n v="62.61"/>
    <n v="1"/>
    <n v="4.42"/>
    <n v="1.89"/>
    <n v="85.82"/>
    <n v="5"/>
    <n v="5"/>
    <n v="52.247999999999998"/>
    <n v="55.884"/>
    <n v="50.613999999999997"/>
    <x v="0"/>
    <x v="0"/>
    <x v="0"/>
  </r>
  <r>
    <x v="356"/>
    <x v="5"/>
    <x v="1"/>
    <n v="87.75"/>
    <n v="9"/>
    <n v="9.84"/>
    <n v="73.59"/>
    <n v="17.059999999999999"/>
    <n v="15"/>
    <n v="4"/>
    <n v="39.672000000000004"/>
    <n v="88.78"/>
    <n v="57.937200000000004"/>
    <x v="1"/>
    <x v="0"/>
    <x v="2"/>
  </r>
  <r>
    <x v="357"/>
    <x v="4"/>
    <x v="0"/>
    <n v="73.03"/>
    <n v="0"/>
    <n v="3.96"/>
    <n v="20.84"/>
    <n v="43.68"/>
    <n v="7"/>
    <n v="2"/>
    <n v="34.543999999999997"/>
    <n v="45.132000000000005"/>
    <n v="37.765999999999998"/>
    <x v="0"/>
    <x v="0"/>
    <x v="0"/>
  </r>
  <r>
    <x v="358"/>
    <x v="7"/>
    <x v="0"/>
    <n v="92.1"/>
    <n v="1"/>
    <n v="7.15"/>
    <n v="13.29"/>
    <n v="46.4"/>
    <n v="15"/>
    <n v="3"/>
    <n v="33.155999999999999"/>
    <n v="65.14"/>
    <n v="46.935599999999994"/>
    <x v="0"/>
    <x v="0"/>
    <x v="2"/>
  </r>
  <r>
    <x v="359"/>
    <x v="3"/>
    <x v="1"/>
    <n v="86.42"/>
    <n v="4"/>
    <n v="2.82"/>
    <n v="63.85"/>
    <n v="78.91"/>
    <n v="17"/>
    <n v="4"/>
    <n v="72.885999999999996"/>
    <n v="64.207999999999998"/>
    <n v="71.494"/>
    <x v="2"/>
    <x v="2"/>
    <x v="2"/>
  </r>
  <r>
    <x v="360"/>
    <x v="1"/>
    <x v="0"/>
    <n v="88.82"/>
    <n v="3"/>
    <n v="3.64"/>
    <n v="31.97"/>
    <n v="60.29"/>
    <n v="19"/>
    <n v="1"/>
    <n v="48.962000000000003"/>
    <n v="52.808"/>
    <n v="54.7196"/>
    <x v="0"/>
    <x v="0"/>
    <x v="1"/>
  </r>
  <r>
    <x v="361"/>
    <x v="7"/>
    <x v="0"/>
    <n v="82.81"/>
    <n v="3"/>
    <n v="1.91"/>
    <n v="5.71"/>
    <n v="65.42"/>
    <n v="15"/>
    <n v="5"/>
    <n v="41.536000000000001"/>
    <n v="62.944000000000003"/>
    <n v="51.3048"/>
    <x v="0"/>
    <x v="0"/>
    <x v="2"/>
  </r>
  <r>
    <x v="362"/>
    <x v="7"/>
    <x v="0"/>
    <n v="58.87"/>
    <n v="8"/>
    <n v="3.47"/>
    <n v="13.76"/>
    <n v="99.82"/>
    <n v="10"/>
    <n v="3"/>
    <n v="65.396000000000001"/>
    <n v="58.488"/>
    <n v="61.783999999999999"/>
    <x v="1"/>
    <x v="0"/>
    <x v="2"/>
  </r>
  <r>
    <x v="363"/>
    <x v="5"/>
    <x v="1"/>
    <n v="77.25"/>
    <n v="10"/>
    <n v="5.47"/>
    <n v="0.09"/>
    <n v="7.5"/>
    <n v="6"/>
    <n v="4"/>
    <n v="4.5359999999999996"/>
    <n v="77.84"/>
    <n v="29.073599999999999"/>
    <x v="0"/>
    <x v="0"/>
    <x v="2"/>
  </r>
  <r>
    <x v="364"/>
    <x v="0"/>
    <x v="1"/>
    <n v="99.23"/>
    <n v="7"/>
    <n v="9.92"/>
    <n v="90.32"/>
    <n v="22.3"/>
    <n v="16"/>
    <n v="0"/>
    <n v="49.508000000000003"/>
    <n v="73.532000000000011"/>
    <n v="59.764400000000002"/>
    <x v="1"/>
    <x v="0"/>
    <x v="0"/>
  </r>
  <r>
    <x v="365"/>
    <x v="0"/>
    <x v="0"/>
    <n v="96.87"/>
    <n v="5"/>
    <n v="6.64"/>
    <n v="2.46"/>
    <n v="40.79"/>
    <n v="16"/>
    <n v="1"/>
    <n v="25.457999999999998"/>
    <n v="66.028000000000006"/>
    <n v="43.083200000000005"/>
    <x v="0"/>
    <x v="0"/>
    <x v="0"/>
  </r>
  <r>
    <x v="366"/>
    <x v="6"/>
    <x v="1"/>
    <n v="52.16"/>
    <n v="0"/>
    <n v="1.99"/>
    <n v="20.95"/>
    <n v="34.78"/>
    <n v="11"/>
    <n v="3"/>
    <n v="29.247999999999998"/>
    <n v="36.844000000000001"/>
    <n v="34.101999999999997"/>
    <x v="0"/>
    <x v="1"/>
    <x v="1"/>
  </r>
  <r>
    <x v="367"/>
    <x v="5"/>
    <x v="1"/>
    <n v="58.24"/>
    <n v="1"/>
    <n v="0.45"/>
    <n v="41.63"/>
    <n v="2.16"/>
    <n v="12"/>
    <n v="0"/>
    <n v="17.948"/>
    <n v="26.196000000000002"/>
    <n v="24.627600000000001"/>
    <x v="0"/>
    <x v="1"/>
    <x v="2"/>
  </r>
  <r>
    <x v="368"/>
    <x v="3"/>
    <x v="0"/>
    <n v="56.59"/>
    <n v="5"/>
    <n v="1.26"/>
    <n v="35.659999999999997"/>
    <n v="9.18"/>
    <n v="9"/>
    <n v="5"/>
    <n v="19.771999999999998"/>
    <n v="55.156000000000006"/>
    <n v="32.909999999999997"/>
    <x v="0"/>
    <x v="1"/>
    <x v="2"/>
  </r>
  <r>
    <x v="369"/>
    <x v="0"/>
    <x v="2"/>
    <n v="86.3"/>
    <n v="10"/>
    <n v="5.63"/>
    <n v="91.17"/>
    <n v="68.099999999999994"/>
    <n v="6"/>
    <n v="1"/>
    <n v="77.328000000000003"/>
    <n v="69.78"/>
    <n v="70.330799999999996"/>
    <x v="2"/>
    <x v="2"/>
    <x v="0"/>
  </r>
  <r>
    <x v="370"/>
    <x v="1"/>
    <x v="1"/>
    <n v="90.89"/>
    <n v="1"/>
    <n v="7.65"/>
    <n v="4.03"/>
    <n v="87.93"/>
    <n v="13"/>
    <n v="2"/>
    <n v="54.370000000000005"/>
    <n v="61.656000000000006"/>
    <n v="57.6188"/>
    <x v="1"/>
    <x v="0"/>
    <x v="1"/>
  </r>
  <r>
    <x v="371"/>
    <x v="4"/>
    <x v="1"/>
    <n v="60.68"/>
    <n v="9"/>
    <n v="9.4"/>
    <n v="51.22"/>
    <n v="51.42"/>
    <n v="0"/>
    <n v="0"/>
    <n v="51.34"/>
    <n v="61.072000000000003"/>
    <n v="49.125600000000006"/>
    <x v="0"/>
    <x v="0"/>
    <x v="0"/>
  </r>
  <r>
    <x v="372"/>
    <x v="5"/>
    <x v="0"/>
    <n v="75.290000000000006"/>
    <n v="4"/>
    <n v="0.16"/>
    <n v="68.05"/>
    <n v="53.92"/>
    <n v="16"/>
    <n v="4"/>
    <n v="59.571999999999996"/>
    <n v="54.436"/>
    <n v="60.073999999999998"/>
    <x v="1"/>
    <x v="0"/>
    <x v="2"/>
  </r>
  <r>
    <x v="373"/>
    <x v="4"/>
    <x v="1"/>
    <n v="92.04"/>
    <n v="4"/>
    <n v="5.23"/>
    <n v="93.17"/>
    <n v="25.51"/>
    <n v="3"/>
    <n v="3"/>
    <n v="52.573999999999998"/>
    <n v="67.27600000000001"/>
    <n v="53.227199999999996"/>
    <x v="0"/>
    <x v="0"/>
    <x v="0"/>
  </r>
  <r>
    <x v="374"/>
    <x v="7"/>
    <x v="1"/>
    <n v="86.64"/>
    <n v="5"/>
    <n v="4.71"/>
    <n v="62.04"/>
    <n v="76.790000000000006"/>
    <n v="4"/>
    <n v="1"/>
    <n v="70.890000000000015"/>
    <n v="58.076000000000001"/>
    <n v="61.956800000000001"/>
    <x v="1"/>
    <x v="2"/>
    <x v="2"/>
  </r>
  <r>
    <x v="375"/>
    <x v="1"/>
    <x v="1"/>
    <n v="77.11"/>
    <n v="5"/>
    <n v="6.56"/>
    <n v="80.38"/>
    <n v="75.180000000000007"/>
    <n v="19"/>
    <n v="0"/>
    <n v="77.260000000000005"/>
    <n v="53.963999999999999"/>
    <n v="72.045199999999994"/>
    <x v="2"/>
    <x v="2"/>
    <x v="1"/>
  </r>
  <r>
    <x v="376"/>
    <x v="1"/>
    <x v="0"/>
    <n v="79.52"/>
    <n v="5"/>
    <n v="5.6"/>
    <n v="8.3699999999999992"/>
    <n v="58.84"/>
    <n v="6"/>
    <n v="2"/>
    <n v="38.652000000000001"/>
    <n v="61.007999999999996"/>
    <n v="44.493600000000001"/>
    <x v="0"/>
    <x v="0"/>
    <x v="1"/>
  </r>
  <r>
    <x v="377"/>
    <x v="7"/>
    <x v="0"/>
    <n v="75.42"/>
    <n v="1"/>
    <n v="6.87"/>
    <n v="38.590000000000003"/>
    <n v="21.27"/>
    <n v="9"/>
    <n v="3"/>
    <n v="28.198"/>
    <n v="57.908000000000008"/>
    <n v="38.791200000000003"/>
    <x v="0"/>
    <x v="0"/>
    <x v="2"/>
  </r>
  <r>
    <x v="378"/>
    <x v="5"/>
    <x v="1"/>
    <n v="64.88"/>
    <n v="9"/>
    <n v="6.58"/>
    <n v="37.39"/>
    <n v="9.6999999999999993"/>
    <n v="16"/>
    <n v="3"/>
    <n v="20.776"/>
    <n v="69.111999999999995"/>
    <n v="41.199199999999998"/>
    <x v="0"/>
    <x v="0"/>
    <x v="2"/>
  </r>
  <r>
    <x v="379"/>
    <x v="7"/>
    <x v="1"/>
    <n v="78.25"/>
    <n v="2"/>
    <n v="1.17"/>
    <n v="88.63"/>
    <n v="6.42"/>
    <n v="6"/>
    <n v="0"/>
    <n v="39.303999999999995"/>
    <n v="37.64"/>
    <n v="37.874399999999994"/>
    <x v="0"/>
    <x v="0"/>
    <x v="2"/>
  </r>
  <r>
    <x v="380"/>
    <x v="4"/>
    <x v="1"/>
    <n v="84.44"/>
    <n v="5"/>
    <n v="8"/>
    <n v="15.14"/>
    <n v="59.27"/>
    <n v="0"/>
    <n v="2"/>
    <n v="41.617999999999995"/>
    <n v="67.77600000000001"/>
    <n v="45.303600000000003"/>
    <x v="0"/>
    <x v="0"/>
    <x v="0"/>
  </r>
  <r>
    <x v="381"/>
    <x v="6"/>
    <x v="0"/>
    <n v="93.67"/>
    <n v="7"/>
    <n v="1.23"/>
    <n v="15.19"/>
    <n v="82.5"/>
    <n v="6"/>
    <n v="5"/>
    <n v="55.576000000000001"/>
    <n v="73.927999999999997"/>
    <n v="58.524000000000001"/>
    <x v="1"/>
    <x v="0"/>
    <x v="1"/>
  </r>
  <r>
    <x v="382"/>
    <x v="1"/>
    <x v="1"/>
    <n v="81.81"/>
    <n v="10"/>
    <n v="6.99"/>
    <n v="32.86"/>
    <n v="85.83"/>
    <n v="10"/>
    <n v="5"/>
    <n v="64.641999999999996"/>
    <n v="86.704000000000008"/>
    <n v="69.796400000000006"/>
    <x v="1"/>
    <x v="2"/>
    <x v="1"/>
  </r>
  <r>
    <x v="383"/>
    <x v="2"/>
    <x v="1"/>
    <n v="88.06"/>
    <n v="0"/>
    <n v="4.16"/>
    <n v="5.45"/>
    <n v="46.36"/>
    <n v="8"/>
    <n v="1"/>
    <n v="29.995999999999999"/>
    <n v="47.544000000000004"/>
    <n v="36.260800000000003"/>
    <x v="0"/>
    <x v="0"/>
    <x v="1"/>
  </r>
  <r>
    <x v="384"/>
    <x v="2"/>
    <x v="0"/>
    <n v="58"/>
    <n v="0"/>
    <n v="5.14"/>
    <n v="18.25"/>
    <n v="78.430000000000007"/>
    <n v="11"/>
    <n v="0"/>
    <n v="54.358000000000004"/>
    <n v="33.480000000000004"/>
    <n v="48.158799999999999"/>
    <x v="0"/>
    <x v="0"/>
    <x v="1"/>
  </r>
  <r>
    <x v="385"/>
    <x v="4"/>
    <x v="1"/>
    <n v="73.08"/>
    <n v="10"/>
    <n v="9.0299999999999994"/>
    <n v="96.52"/>
    <n v="94.69"/>
    <n v="2"/>
    <n v="1"/>
    <n v="95.421999999999997"/>
    <n v="71.292000000000002"/>
    <n v="79.640799999999999"/>
    <x v="2"/>
    <x v="2"/>
    <x v="0"/>
  </r>
  <r>
    <x v="386"/>
    <x v="3"/>
    <x v="0"/>
    <n v="50.47"/>
    <n v="1"/>
    <n v="8.9"/>
    <n v="42.82"/>
    <n v="27.52"/>
    <n v="3"/>
    <n v="5"/>
    <n v="33.64"/>
    <n v="59.988"/>
    <n v="39.680399999999999"/>
    <x v="0"/>
    <x v="1"/>
    <x v="2"/>
  </r>
  <r>
    <x v="387"/>
    <x v="0"/>
    <x v="1"/>
    <n v="62.33"/>
    <n v="10"/>
    <n v="8.18"/>
    <n v="63.2"/>
    <n v="39.799999999999997"/>
    <n v="3"/>
    <n v="3"/>
    <n v="49.16"/>
    <n v="73.292000000000002"/>
    <n v="52.983599999999996"/>
    <x v="0"/>
    <x v="0"/>
    <x v="0"/>
  </r>
  <r>
    <x v="388"/>
    <x v="7"/>
    <x v="1"/>
    <n v="86.32"/>
    <n v="5"/>
    <n v="5.0999999999999996"/>
    <n v="72.61"/>
    <n v="93.15"/>
    <n v="12"/>
    <n v="1"/>
    <n v="84.933999999999997"/>
    <n v="58.727999999999994"/>
    <n v="74.578800000000001"/>
    <x v="2"/>
    <x v="2"/>
    <x v="2"/>
  </r>
  <r>
    <x v="389"/>
    <x v="7"/>
    <x v="1"/>
    <n v="99.59"/>
    <n v="8"/>
    <n v="7.36"/>
    <n v="36.700000000000003"/>
    <n v="33.82"/>
    <n v="18"/>
    <n v="2"/>
    <n v="34.972000000000001"/>
    <n v="78.556000000000012"/>
    <n v="53.550000000000004"/>
    <x v="0"/>
    <x v="0"/>
    <x v="2"/>
  </r>
  <r>
    <x v="390"/>
    <x v="3"/>
    <x v="0"/>
    <n v="54.96"/>
    <n v="3"/>
    <n v="5.13"/>
    <n v="14.72"/>
    <n v="91.39"/>
    <n v="9"/>
    <n v="4"/>
    <n v="60.721999999999994"/>
    <n v="54.244"/>
    <n v="57.206399999999988"/>
    <x v="1"/>
    <x v="0"/>
    <x v="2"/>
  </r>
  <r>
    <x v="391"/>
    <x v="3"/>
    <x v="0"/>
    <n v="70.069999999999993"/>
    <n v="2"/>
    <n v="8.6999999999999993"/>
    <n v="20.66"/>
    <n v="98.1"/>
    <n v="4"/>
    <n v="5"/>
    <n v="67.123999999999995"/>
    <n v="69.427999999999997"/>
    <n v="63.102799999999988"/>
    <x v="1"/>
    <x v="2"/>
    <x v="2"/>
  </r>
  <r>
    <x v="392"/>
    <x v="4"/>
    <x v="0"/>
    <n v="90"/>
    <n v="7"/>
    <n v="4.03"/>
    <n v="31.33"/>
    <n v="66.180000000000007"/>
    <n v="6"/>
    <n v="5"/>
    <n v="52.240000000000009"/>
    <n v="78.06"/>
    <n v="57.762"/>
    <x v="1"/>
    <x v="0"/>
    <x v="0"/>
  </r>
  <r>
    <x v="393"/>
    <x v="4"/>
    <x v="1"/>
    <n v="60.2"/>
    <n v="10"/>
    <n v="9.6999999999999993"/>
    <n v="63.61"/>
    <n v="81.69"/>
    <n v="15"/>
    <n v="2"/>
    <n v="74.457999999999998"/>
    <n v="71.47999999999999"/>
    <n v="73.618799999999993"/>
    <x v="2"/>
    <x v="0"/>
    <x v="0"/>
  </r>
  <r>
    <x v="394"/>
    <x v="3"/>
    <x v="0"/>
    <n v="77.75"/>
    <n v="9"/>
    <n v="9.32"/>
    <n v="39.83"/>
    <n v="74.95"/>
    <n v="0"/>
    <n v="1"/>
    <n v="60.902000000000001"/>
    <n v="71.740000000000009"/>
    <n v="58.063199999999995"/>
    <x v="1"/>
    <x v="2"/>
    <x v="2"/>
  </r>
  <r>
    <x v="395"/>
    <x v="1"/>
    <x v="1"/>
    <n v="86.65"/>
    <n v="8"/>
    <n v="7.42"/>
    <n v="0.68"/>
    <n v="69.95"/>
    <n v="11"/>
    <n v="0"/>
    <n v="42.241999999999997"/>
    <n v="65.5"/>
    <n v="50.495199999999997"/>
    <x v="0"/>
    <x v="0"/>
    <x v="1"/>
  </r>
  <r>
    <x v="396"/>
    <x v="4"/>
    <x v="1"/>
    <n v="80.8"/>
    <n v="10"/>
    <n v="2.79"/>
    <n v="52.34"/>
    <n v="30.69"/>
    <n v="1"/>
    <n v="3"/>
    <n v="39.350000000000009"/>
    <n v="69.900000000000006"/>
    <n v="45.080000000000005"/>
    <x v="0"/>
    <x v="0"/>
    <x v="0"/>
  </r>
  <r>
    <x v="397"/>
    <x v="6"/>
    <x v="0"/>
    <n v="59.4"/>
    <n v="4"/>
    <n v="1.32"/>
    <n v="92.15"/>
    <n v="5.71"/>
    <n v="6"/>
    <n v="4"/>
    <n v="40.286000000000008"/>
    <n v="50.4"/>
    <n v="42.291600000000003"/>
    <x v="0"/>
    <x v="1"/>
    <x v="1"/>
  </r>
  <r>
    <x v="398"/>
    <x v="4"/>
    <x v="1"/>
    <n v="67.77"/>
    <n v="8"/>
    <n v="8.5500000000000007"/>
    <n v="81.209999999999994"/>
    <n v="34.31"/>
    <n v="10"/>
    <n v="0"/>
    <n v="53.070000000000007"/>
    <n v="60.208000000000006"/>
    <n v="54.904400000000003"/>
    <x v="0"/>
    <x v="0"/>
    <x v="0"/>
  </r>
  <r>
    <x v="399"/>
    <x v="7"/>
    <x v="1"/>
    <n v="89.19"/>
    <n v="1"/>
    <n v="1.65"/>
    <n v="82.52"/>
    <n v="66.69"/>
    <n v="12"/>
    <n v="0"/>
    <n v="73.021999999999991"/>
    <n v="40.975999999999999"/>
    <n v="62.105999999999995"/>
    <x v="1"/>
    <x v="2"/>
    <x v="2"/>
  </r>
  <r>
    <x v="400"/>
    <x v="4"/>
    <x v="1"/>
    <n v="77.709999999999994"/>
    <n v="2"/>
    <n v="8.5399999999999991"/>
    <n v="79.510000000000005"/>
    <n v="10.25"/>
    <n v="1"/>
    <n v="2"/>
    <n v="37.954000000000001"/>
    <n v="60.164000000000001"/>
    <n v="41.321600000000004"/>
    <x v="0"/>
    <x v="0"/>
    <x v="0"/>
  </r>
  <r>
    <x v="401"/>
    <x v="1"/>
    <x v="1"/>
    <n v="50.26"/>
    <n v="6"/>
    <n v="4.91"/>
    <n v="32.369999999999997"/>
    <n v="1.19"/>
    <n v="6"/>
    <n v="1"/>
    <n v="13.662000000000001"/>
    <n v="45.923999999999999"/>
    <n v="24.974399999999999"/>
    <x v="0"/>
    <x v="1"/>
    <x v="1"/>
  </r>
  <r>
    <x v="402"/>
    <x v="3"/>
    <x v="1"/>
    <n v="88.05"/>
    <n v="6"/>
    <n v="4.07"/>
    <n v="76.52"/>
    <n v="13.97"/>
    <n v="14"/>
    <n v="5"/>
    <n v="38.99"/>
    <n v="75.36"/>
    <n v="53.002000000000002"/>
    <x v="0"/>
    <x v="0"/>
    <x v="2"/>
  </r>
  <r>
    <x v="403"/>
    <x v="7"/>
    <x v="0"/>
    <n v="51.77"/>
    <n v="5"/>
    <n v="9.0299999999999994"/>
    <n v="14.32"/>
    <n v="71.569999999999993"/>
    <n v="10"/>
    <n v="5"/>
    <n v="48.669999999999995"/>
    <n v="68.768000000000001"/>
    <n v="54.832399999999993"/>
    <x v="0"/>
    <x v="1"/>
    <x v="2"/>
  </r>
  <r>
    <x v="404"/>
    <x v="4"/>
    <x v="1"/>
    <n v="87.29"/>
    <n v="5"/>
    <n v="6.04"/>
    <n v="65.77"/>
    <n v="97.28"/>
    <n v="1"/>
    <n v="2"/>
    <n v="84.675999999999988"/>
    <n v="64.996000000000009"/>
    <n v="70.804399999999987"/>
    <x v="2"/>
    <x v="2"/>
    <x v="0"/>
  </r>
  <r>
    <x v="405"/>
    <x v="1"/>
    <x v="0"/>
    <n v="60.12"/>
    <n v="1"/>
    <n v="5.77"/>
    <n v="64.16"/>
    <n v="98.31"/>
    <n v="6"/>
    <n v="1"/>
    <n v="84.65"/>
    <n v="41.588000000000001"/>
    <n v="66.266400000000004"/>
    <x v="1"/>
    <x v="0"/>
    <x v="1"/>
  </r>
  <r>
    <x v="406"/>
    <x v="6"/>
    <x v="0"/>
    <n v="97.9"/>
    <n v="9"/>
    <n v="5.59"/>
    <n v="2.56"/>
    <n v="49.4"/>
    <n v="3"/>
    <n v="2"/>
    <n v="30.663999999999998"/>
    <n v="76.34"/>
    <n v="42.800399999999996"/>
    <x v="0"/>
    <x v="0"/>
    <x v="1"/>
  </r>
  <r>
    <x v="407"/>
    <x v="4"/>
    <x v="1"/>
    <n v="68.400000000000006"/>
    <n v="5"/>
    <n v="3.71"/>
    <n v="78.8"/>
    <n v="86.94"/>
    <n v="10"/>
    <n v="5"/>
    <n v="83.683999999999997"/>
    <n v="64.78"/>
    <n v="74.644400000000005"/>
    <x v="2"/>
    <x v="0"/>
    <x v="0"/>
  </r>
  <r>
    <x v="408"/>
    <x v="1"/>
    <x v="1"/>
    <n v="66.349999999999994"/>
    <n v="3"/>
    <n v="7.86"/>
    <n v="90.32"/>
    <n v="73.680000000000007"/>
    <n v="1"/>
    <n v="0"/>
    <n v="80.336000000000013"/>
    <n v="48.26"/>
    <n v="63.179600000000008"/>
    <x v="1"/>
    <x v="0"/>
    <x v="1"/>
  </r>
  <r>
    <x v="409"/>
    <x v="6"/>
    <x v="1"/>
    <n v="57.44"/>
    <n v="2"/>
    <n v="2.5299999999999998"/>
    <n v="26.74"/>
    <n v="50.1"/>
    <n v="15"/>
    <n v="3"/>
    <n v="40.756"/>
    <n v="44.036000000000001"/>
    <n v="45.164400000000001"/>
    <x v="0"/>
    <x v="1"/>
    <x v="1"/>
  </r>
  <r>
    <x v="410"/>
    <x v="3"/>
    <x v="0"/>
    <n v="65.28"/>
    <n v="10"/>
    <n v="9.39"/>
    <n v="81.239999999999995"/>
    <n v="57.28"/>
    <n v="6"/>
    <n v="1"/>
    <n v="66.864000000000004"/>
    <n v="68.891999999999996"/>
    <n v="63.786000000000001"/>
    <x v="1"/>
    <x v="0"/>
    <x v="2"/>
  </r>
  <r>
    <x v="411"/>
    <x v="4"/>
    <x v="1"/>
    <n v="93.83"/>
    <n v="1"/>
    <n v="8.94"/>
    <n v="8.24"/>
    <n v="13.72"/>
    <n v="12"/>
    <n v="4"/>
    <n v="11.527999999999999"/>
    <n v="73.412000000000006"/>
    <n v="34.940399999999997"/>
    <x v="0"/>
    <x v="0"/>
    <x v="0"/>
  </r>
  <r>
    <x v="412"/>
    <x v="6"/>
    <x v="0"/>
    <n v="99.82"/>
    <n v="0"/>
    <n v="3.37"/>
    <n v="60"/>
    <n v="93.77"/>
    <n v="4"/>
    <n v="4"/>
    <n v="80.262"/>
    <n v="62.667999999999999"/>
    <n v="68.957599999999999"/>
    <x v="1"/>
    <x v="2"/>
    <x v="1"/>
  </r>
  <r>
    <x v="413"/>
    <x v="7"/>
    <x v="1"/>
    <n v="68.42"/>
    <n v="10"/>
    <n v="7.29"/>
    <n v="48.56"/>
    <n v="35.19"/>
    <n v="16"/>
    <n v="0"/>
    <n v="40.537999999999997"/>
    <n v="61.948"/>
    <n v="50.907199999999996"/>
    <x v="0"/>
    <x v="0"/>
    <x v="2"/>
  </r>
  <r>
    <x v="414"/>
    <x v="3"/>
    <x v="0"/>
    <n v="72.430000000000007"/>
    <n v="10"/>
    <n v="5.73"/>
    <n v="54.59"/>
    <n v="44.61"/>
    <n v="11"/>
    <n v="2"/>
    <n v="48.602000000000004"/>
    <n v="68.432000000000016"/>
    <n v="55.19080000000001"/>
    <x v="1"/>
    <x v="0"/>
    <x v="2"/>
  </r>
  <r>
    <x v="415"/>
    <x v="7"/>
    <x v="1"/>
    <n v="86.1"/>
    <n v="4"/>
    <n v="3.38"/>
    <n v="92.62"/>
    <n v="67.17"/>
    <n v="18"/>
    <n v="2"/>
    <n v="77.349999999999994"/>
    <n v="57.199999999999996"/>
    <n v="72.569999999999993"/>
    <x v="2"/>
    <x v="2"/>
    <x v="2"/>
  </r>
  <r>
    <x v="416"/>
    <x v="2"/>
    <x v="1"/>
    <n v="94.31"/>
    <n v="1"/>
    <n v="9.89"/>
    <n v="87.13"/>
    <n v="33.39"/>
    <n v="6"/>
    <n v="5"/>
    <n v="54.885999999999996"/>
    <n v="79.504000000000005"/>
    <n v="59.782799999999995"/>
    <x v="1"/>
    <x v="0"/>
    <x v="1"/>
  </r>
  <r>
    <x v="417"/>
    <x v="5"/>
    <x v="2"/>
    <n v="79.650000000000006"/>
    <n v="1"/>
    <n v="0.25"/>
    <n v="78.510000000000005"/>
    <n v="25.43"/>
    <n v="5"/>
    <n v="0"/>
    <n v="46.662000000000006"/>
    <n v="34.36"/>
    <n v="40.805199999999999"/>
    <x v="0"/>
    <x v="0"/>
    <x v="2"/>
  </r>
  <r>
    <x v="418"/>
    <x v="4"/>
    <x v="0"/>
    <n v="69.58"/>
    <n v="6"/>
    <n v="2.5299999999999998"/>
    <n v="27.37"/>
    <n v="63.1"/>
    <n v="7"/>
    <n v="5"/>
    <n v="48.808"/>
    <n v="64.891999999999996"/>
    <n v="52.252399999999994"/>
    <x v="0"/>
    <x v="0"/>
    <x v="0"/>
  </r>
  <r>
    <x v="419"/>
    <x v="6"/>
    <x v="1"/>
    <n v="70.63"/>
    <n v="7"/>
    <n v="5.2"/>
    <n v="91.18"/>
    <n v="2.5"/>
    <n v="12"/>
    <n v="5"/>
    <n v="37.972000000000001"/>
    <n v="72.651999999999987"/>
    <n v="50.578800000000001"/>
    <x v="0"/>
    <x v="0"/>
    <x v="1"/>
  </r>
  <r>
    <x v="420"/>
    <x v="5"/>
    <x v="0"/>
    <n v="84.78"/>
    <n v="9"/>
    <n v="5.22"/>
    <n v="9.75"/>
    <n v="72.069999999999993"/>
    <n v="4"/>
    <n v="4"/>
    <n v="47.141999999999996"/>
    <n v="78.352000000000004"/>
    <n v="53.790799999999997"/>
    <x v="0"/>
    <x v="0"/>
    <x v="2"/>
  </r>
  <r>
    <x v="421"/>
    <x v="5"/>
    <x v="0"/>
    <n v="50.16"/>
    <n v="7"/>
    <n v="5.89"/>
    <n v="85.33"/>
    <n v="51.4"/>
    <n v="1"/>
    <n v="5"/>
    <n v="64.971999999999994"/>
    <n v="65.843999999999994"/>
    <n v="59.236399999999989"/>
    <x v="1"/>
    <x v="0"/>
    <x v="2"/>
  </r>
  <r>
    <x v="422"/>
    <x v="6"/>
    <x v="0"/>
    <n v="80.98"/>
    <n v="3"/>
    <n v="7.52"/>
    <n v="32.82"/>
    <n v="60.58"/>
    <n v="8"/>
    <n v="5"/>
    <n v="49.475999999999999"/>
    <n v="73.432000000000002"/>
    <n v="55.715199999999996"/>
    <x v="1"/>
    <x v="0"/>
    <x v="1"/>
  </r>
  <r>
    <x v="423"/>
    <x v="3"/>
    <x v="0"/>
    <n v="67.77"/>
    <n v="0"/>
    <n v="6.23"/>
    <n v="5.38"/>
    <n v="63.19"/>
    <n v="10"/>
    <n v="4"/>
    <n v="40.065999999999995"/>
    <n v="55.567999999999998"/>
    <n v="45.709999999999994"/>
    <x v="0"/>
    <x v="0"/>
    <x v="2"/>
  </r>
  <r>
    <x v="424"/>
    <x v="4"/>
    <x v="1"/>
    <n v="89.71"/>
    <n v="10"/>
    <n v="6"/>
    <n v="66.94"/>
    <n v="52.71"/>
    <n v="5"/>
    <n v="2"/>
    <n v="58.402000000000001"/>
    <n v="75.884"/>
    <n v="60.306399999999996"/>
    <x v="1"/>
    <x v="0"/>
    <x v="0"/>
  </r>
  <r>
    <x v="425"/>
    <x v="2"/>
    <x v="1"/>
    <n v="54.65"/>
    <n v="6"/>
    <n v="0.54"/>
    <n v="23.13"/>
    <n v="58.25"/>
    <n v="6"/>
    <n v="1"/>
    <n v="44.201999999999998"/>
    <n v="38.94"/>
    <n v="41.203199999999995"/>
    <x v="0"/>
    <x v="1"/>
    <x v="1"/>
  </r>
  <r>
    <x v="426"/>
    <x v="7"/>
    <x v="1"/>
    <n v="79.41"/>
    <n v="0"/>
    <n v="3.77"/>
    <n v="24.36"/>
    <n v="68.38"/>
    <n v="6"/>
    <n v="3"/>
    <n v="50.771999999999998"/>
    <n v="51.304000000000002"/>
    <n v="48.854399999999998"/>
    <x v="0"/>
    <x v="0"/>
    <x v="2"/>
  </r>
  <r>
    <x v="427"/>
    <x v="1"/>
    <x v="0"/>
    <n v="74.05"/>
    <n v="10"/>
    <n v="2.3199999999999998"/>
    <n v="30.6"/>
    <n v="75.31"/>
    <n v="18"/>
    <n v="5"/>
    <n v="57.426000000000002"/>
    <n v="74.260000000000005"/>
    <n v="65.733599999999996"/>
    <x v="1"/>
    <x v="0"/>
    <x v="1"/>
  </r>
  <r>
    <x v="428"/>
    <x v="7"/>
    <x v="0"/>
    <n v="82.12"/>
    <n v="3"/>
    <n v="2.65"/>
    <n v="6.37"/>
    <n v="72.75"/>
    <n v="5"/>
    <n v="1"/>
    <n v="46.198"/>
    <n v="48.148000000000003"/>
    <n v="44.663199999999996"/>
    <x v="0"/>
    <x v="0"/>
    <x v="2"/>
  </r>
  <r>
    <x v="429"/>
    <x v="1"/>
    <x v="1"/>
    <n v="53.24"/>
    <n v="7"/>
    <n v="5.54"/>
    <n v="17.71"/>
    <n v="86.96"/>
    <n v="10"/>
    <n v="4"/>
    <n v="59.26"/>
    <n v="62.376000000000005"/>
    <n v="59.268799999999999"/>
    <x v="1"/>
    <x v="0"/>
    <x v="1"/>
  </r>
  <r>
    <x v="430"/>
    <x v="7"/>
    <x v="1"/>
    <n v="79"/>
    <n v="1"/>
    <n v="2"/>
    <n v="0.51"/>
    <n v="18.940000000000001"/>
    <n v="10"/>
    <n v="1"/>
    <n v="11.568000000000001"/>
    <n v="41.6"/>
    <n v="24.4208"/>
    <x v="0"/>
    <x v="0"/>
    <x v="2"/>
  </r>
  <r>
    <x v="431"/>
    <x v="6"/>
    <x v="0"/>
    <n v="78.069999999999993"/>
    <n v="5"/>
    <n v="2.94"/>
    <n v="44.54"/>
    <n v="40.11"/>
    <n v="6"/>
    <n v="3"/>
    <n v="41.881999999999998"/>
    <n v="59.107999999999997"/>
    <n v="45.861599999999996"/>
    <x v="0"/>
    <x v="0"/>
    <x v="1"/>
  </r>
  <r>
    <x v="432"/>
    <x v="2"/>
    <x v="2"/>
    <n v="78.03"/>
    <n v="5"/>
    <n v="2.37"/>
    <n v="8.43"/>
    <n v="94.78"/>
    <n v="1"/>
    <n v="1"/>
    <n v="60.24"/>
    <n v="49.952000000000005"/>
    <n v="51.629599999999996"/>
    <x v="0"/>
    <x v="2"/>
    <x v="1"/>
  </r>
  <r>
    <x v="433"/>
    <x v="4"/>
    <x v="0"/>
    <n v="80.17"/>
    <n v="8"/>
    <n v="9.49"/>
    <n v="68.27"/>
    <n v="39.659999999999997"/>
    <n v="18"/>
    <n v="1"/>
    <n v="51.103999999999999"/>
    <n v="71.048000000000002"/>
    <n v="60.976799999999997"/>
    <x v="1"/>
    <x v="0"/>
    <x v="0"/>
  </r>
  <r>
    <x v="434"/>
    <x v="1"/>
    <x v="1"/>
    <n v="83.82"/>
    <n v="4"/>
    <n v="9.4499999999999993"/>
    <n v="23.56"/>
    <n v="12.49"/>
    <n v="3"/>
    <n v="1"/>
    <n v="16.917999999999999"/>
    <n v="64.427999999999997"/>
    <n v="30.979199999999999"/>
    <x v="0"/>
    <x v="0"/>
    <x v="1"/>
  </r>
  <r>
    <x v="435"/>
    <x v="4"/>
    <x v="1"/>
    <n v="90.25"/>
    <n v="9"/>
    <n v="6.1"/>
    <n v="94.36"/>
    <n v="52.54"/>
    <n v="5"/>
    <n v="1"/>
    <n v="69.268000000000001"/>
    <n v="70.3"/>
    <n v="65.150800000000004"/>
    <x v="1"/>
    <x v="2"/>
    <x v="0"/>
  </r>
  <r>
    <x v="436"/>
    <x v="4"/>
    <x v="1"/>
    <n v="63.49"/>
    <n v="3"/>
    <n v="9.25"/>
    <n v="87.13"/>
    <n v="10.95"/>
    <n v="16"/>
    <n v="0"/>
    <n v="41.421999999999997"/>
    <n v="49.896000000000001"/>
    <n v="47.821999999999996"/>
    <x v="0"/>
    <x v="0"/>
    <x v="0"/>
  </r>
  <r>
    <x v="437"/>
    <x v="4"/>
    <x v="2"/>
    <n v="91.25"/>
    <n v="4"/>
    <n v="7.86"/>
    <n v="28.94"/>
    <n v="20.29"/>
    <n v="4"/>
    <n v="5"/>
    <n v="23.75"/>
    <n v="80.22"/>
    <n v="40.316000000000003"/>
    <x v="0"/>
    <x v="0"/>
    <x v="0"/>
  </r>
  <r>
    <x v="438"/>
    <x v="0"/>
    <x v="1"/>
    <n v="74.91"/>
    <n v="9"/>
    <n v="5.9"/>
    <n v="78.319999999999993"/>
    <n v="99.83"/>
    <n v="6"/>
    <n v="4"/>
    <n v="91.225999999999999"/>
    <n v="75.763999999999996"/>
    <n v="80.464799999999997"/>
    <x v="2"/>
    <x v="2"/>
    <x v="0"/>
  </r>
  <r>
    <x v="439"/>
    <x v="3"/>
    <x v="0"/>
    <n v="53.85"/>
    <n v="10"/>
    <n v="0.06"/>
    <n v="80.319999999999993"/>
    <n v="54.14"/>
    <n v="8"/>
    <n v="3"/>
    <n v="64.611999999999995"/>
    <n v="53.660000000000004"/>
    <n v="58.865199999999994"/>
    <x v="1"/>
    <x v="0"/>
    <x v="2"/>
  </r>
  <r>
    <x v="440"/>
    <x v="7"/>
    <x v="1"/>
    <n v="52.93"/>
    <n v="4"/>
    <n v="7.73"/>
    <n v="98.66"/>
    <n v="28.41"/>
    <n v="0"/>
    <n v="4"/>
    <n v="56.51"/>
    <n v="60.632000000000005"/>
    <n v="52.095600000000005"/>
    <x v="0"/>
    <x v="0"/>
    <x v="2"/>
  </r>
  <r>
    <x v="441"/>
    <x v="4"/>
    <x v="0"/>
    <n v="66.709999999999994"/>
    <n v="7"/>
    <n v="7.02"/>
    <n v="59.78"/>
    <n v="99.48"/>
    <n v="0"/>
    <n v="0"/>
    <n v="83.600000000000009"/>
    <n v="54.723999999999997"/>
    <n v="66.577200000000005"/>
    <x v="1"/>
    <x v="0"/>
    <x v="0"/>
  </r>
  <r>
    <x v="442"/>
    <x v="7"/>
    <x v="0"/>
    <n v="89.24"/>
    <n v="9"/>
    <n v="6.15"/>
    <n v="8.1999999999999993"/>
    <n v="96.66"/>
    <n v="18"/>
    <n v="0"/>
    <n v="61.275999999999996"/>
    <n v="65.995999999999995"/>
    <n v="65.564399999999992"/>
    <x v="1"/>
    <x v="2"/>
    <x v="2"/>
  </r>
  <r>
    <x v="443"/>
    <x v="4"/>
    <x v="0"/>
    <n v="85.38"/>
    <n v="7"/>
    <n v="7.6"/>
    <n v="64.680000000000007"/>
    <n v="44.07"/>
    <n v="5"/>
    <n v="0"/>
    <n v="52.314000000000007"/>
    <n v="63.352000000000004"/>
    <n v="52.894000000000005"/>
    <x v="0"/>
    <x v="0"/>
    <x v="0"/>
  </r>
  <r>
    <x v="444"/>
    <x v="1"/>
    <x v="1"/>
    <n v="89.43"/>
    <n v="1"/>
    <n v="5.13"/>
    <n v="62.5"/>
    <n v="26.04"/>
    <n v="17"/>
    <n v="5"/>
    <n v="40.623999999999995"/>
    <n v="68.032000000000011"/>
    <n v="53.283999999999999"/>
    <x v="0"/>
    <x v="0"/>
    <x v="1"/>
  </r>
  <r>
    <x v="445"/>
    <x v="3"/>
    <x v="1"/>
    <n v="75.86"/>
    <n v="6"/>
    <n v="7.04"/>
    <n v="63.84"/>
    <n v="83.84"/>
    <n v="9"/>
    <n v="0"/>
    <n v="75.84"/>
    <n v="56.423999999999999"/>
    <n v="66.93119999999999"/>
    <x v="1"/>
    <x v="2"/>
    <x v="2"/>
  </r>
  <r>
    <x v="446"/>
    <x v="3"/>
    <x v="1"/>
    <n v="72.010000000000005"/>
    <n v="7"/>
    <n v="9.35"/>
    <n v="30.71"/>
    <n v="71.56"/>
    <n v="10"/>
    <n v="1"/>
    <n v="55.22"/>
    <n v="65.504000000000005"/>
    <n v="57.783199999999994"/>
    <x v="1"/>
    <x v="0"/>
    <x v="2"/>
  </r>
  <r>
    <x v="447"/>
    <x v="6"/>
    <x v="2"/>
    <n v="57.37"/>
    <n v="10"/>
    <n v="3.76"/>
    <n v="85.97"/>
    <n v="68.69"/>
    <n v="0"/>
    <n v="4"/>
    <n v="75.602000000000004"/>
    <n v="66.468000000000004"/>
    <n v="65.301600000000008"/>
    <x v="1"/>
    <x v="0"/>
    <x v="1"/>
  </r>
  <r>
    <x v="448"/>
    <x v="0"/>
    <x v="0"/>
    <n v="66.41"/>
    <n v="5"/>
    <n v="7.08"/>
    <n v="95.95"/>
    <n v="89.31"/>
    <n v="0"/>
    <n v="2"/>
    <n v="91.966000000000008"/>
    <n v="58.724000000000004"/>
    <n v="72.796800000000005"/>
    <x v="2"/>
    <x v="0"/>
    <x v="0"/>
  </r>
  <r>
    <x v="449"/>
    <x v="6"/>
    <x v="0"/>
    <n v="71.7"/>
    <n v="4"/>
    <n v="4.76"/>
    <n v="21.77"/>
    <n v="68.94"/>
    <n v="12"/>
    <n v="3"/>
    <n v="50.071999999999996"/>
    <n v="58.2"/>
    <n v="53.503199999999993"/>
    <x v="0"/>
    <x v="0"/>
    <x v="1"/>
  </r>
  <r>
    <x v="450"/>
    <x v="6"/>
    <x v="0"/>
    <n v="54.43"/>
    <n v="10"/>
    <n v="6.74"/>
    <n v="8.82"/>
    <n v="28.38"/>
    <n v="4"/>
    <n v="0"/>
    <n v="20.555999999999997"/>
    <n v="55.25200000000001"/>
    <n v="30.909199999999998"/>
    <x v="0"/>
    <x v="1"/>
    <x v="1"/>
  </r>
  <r>
    <x v="451"/>
    <x v="6"/>
    <x v="0"/>
    <n v="61.03"/>
    <n v="8"/>
    <n v="7.63"/>
    <n v="19.45"/>
    <n v="69.39"/>
    <n v="19"/>
    <n v="4"/>
    <n v="49.414000000000001"/>
    <n v="71.671999999999997"/>
    <n v="60.65"/>
    <x v="1"/>
    <x v="0"/>
    <x v="1"/>
  </r>
  <r>
    <x v="452"/>
    <x v="6"/>
    <x v="1"/>
    <n v="79.91"/>
    <n v="2"/>
    <n v="0.45"/>
    <n v="82.06"/>
    <n v="30.58"/>
    <n v="0"/>
    <n v="0"/>
    <n v="51.172000000000004"/>
    <n v="36.863999999999997"/>
    <n v="41.7624"/>
    <x v="0"/>
    <x v="0"/>
    <x v="1"/>
  </r>
  <r>
    <x v="453"/>
    <x v="6"/>
    <x v="2"/>
    <n v="86.78"/>
    <n v="9"/>
    <n v="6.47"/>
    <n v="67.66"/>
    <n v="75.92"/>
    <n v="19"/>
    <n v="5"/>
    <n v="72.616"/>
    <n v="85.652000000000001"/>
    <n v="78.765199999999993"/>
    <x v="2"/>
    <x v="2"/>
    <x v="1"/>
  </r>
  <r>
    <x v="454"/>
    <x v="2"/>
    <x v="1"/>
    <n v="99.92"/>
    <n v="3"/>
    <n v="2.27"/>
    <n v="63.6"/>
    <n v="61.97"/>
    <n v="2"/>
    <n v="0"/>
    <n v="62.622"/>
    <n v="50.508000000000003"/>
    <n v="53.7256"/>
    <x v="0"/>
    <x v="2"/>
    <x v="1"/>
  </r>
  <r>
    <x v="455"/>
    <x v="3"/>
    <x v="1"/>
    <n v="96.66"/>
    <n v="8"/>
    <n v="6.7"/>
    <n v="40.18"/>
    <n v="7.74"/>
    <n v="17"/>
    <n v="0"/>
    <n v="20.716000000000001"/>
    <n v="68.064000000000007"/>
    <n v="41.348799999999997"/>
    <x v="0"/>
    <x v="0"/>
    <x v="2"/>
  </r>
  <r>
    <x v="456"/>
    <x v="6"/>
    <x v="0"/>
    <n v="82.13"/>
    <n v="5"/>
    <n v="4.68"/>
    <n v="57.78"/>
    <n v="51.28"/>
    <n v="8"/>
    <n v="0"/>
    <n v="53.88"/>
    <n v="52.211999999999996"/>
    <n v="51.991600000000005"/>
    <x v="0"/>
    <x v="0"/>
    <x v="1"/>
  </r>
  <r>
    <x v="457"/>
    <x v="4"/>
    <x v="1"/>
    <n v="71.06"/>
    <n v="7"/>
    <n v="7.74"/>
    <n v="30.79"/>
    <n v="34.33"/>
    <n v="13"/>
    <n v="0"/>
    <n v="32.914000000000001"/>
    <n v="57.904000000000011"/>
    <n v="43.619600000000005"/>
    <x v="0"/>
    <x v="0"/>
    <x v="0"/>
  </r>
  <r>
    <x v="458"/>
    <x v="3"/>
    <x v="1"/>
    <n v="81.81"/>
    <n v="6"/>
    <n v="1.23"/>
    <n v="47.72"/>
    <n v="32.86"/>
    <n v="16"/>
    <n v="3"/>
    <n v="38.804000000000002"/>
    <n v="59.184000000000005"/>
    <n v="49.037599999999998"/>
    <x v="0"/>
    <x v="0"/>
    <x v="2"/>
  </r>
  <r>
    <x v="459"/>
    <x v="3"/>
    <x v="0"/>
    <n v="89.28"/>
    <n v="10"/>
    <n v="6.26"/>
    <n v="79.31"/>
    <n v="60.23"/>
    <n v="13"/>
    <n v="4"/>
    <n v="67.861999999999995"/>
    <n v="84.231999999999999"/>
    <n v="72.486800000000002"/>
    <x v="2"/>
    <x v="2"/>
    <x v="2"/>
  </r>
  <r>
    <x v="460"/>
    <x v="5"/>
    <x v="1"/>
    <n v="55.92"/>
    <n v="1"/>
    <n v="2.78"/>
    <n v="98.12"/>
    <n v="32.229999999999997"/>
    <n v="3"/>
    <n v="5"/>
    <n v="58.585999999999999"/>
    <n v="49.927999999999997"/>
    <n v="51.629999999999995"/>
    <x v="0"/>
    <x v="0"/>
    <x v="2"/>
  </r>
  <r>
    <x v="461"/>
    <x v="2"/>
    <x v="0"/>
    <n v="70.5"/>
    <n v="2"/>
    <n v="8.5299999999999994"/>
    <n v="93.25"/>
    <n v="77.69"/>
    <n v="4"/>
    <n v="0"/>
    <n v="83.914000000000001"/>
    <n v="49.260000000000005"/>
    <n v="67.126400000000004"/>
    <x v="1"/>
    <x v="2"/>
    <x v="1"/>
  </r>
  <r>
    <x v="462"/>
    <x v="6"/>
    <x v="1"/>
    <n v="91.99"/>
    <n v="0"/>
    <n v="9.2799999999999994"/>
    <n v="93.39"/>
    <n v="7.08"/>
    <n v="16"/>
    <n v="0"/>
    <n v="41.603999999999999"/>
    <n v="55.355999999999995"/>
    <n v="49.569199999999995"/>
    <x v="0"/>
    <x v="0"/>
    <x v="1"/>
  </r>
  <r>
    <x v="463"/>
    <x v="7"/>
    <x v="1"/>
    <n v="69.19"/>
    <n v="8"/>
    <n v="9.9600000000000009"/>
    <n v="40.22"/>
    <n v="66.040000000000006"/>
    <n v="1"/>
    <n v="0"/>
    <n v="55.712000000000003"/>
    <n v="63.596000000000004"/>
    <n v="53.006"/>
    <x v="0"/>
    <x v="0"/>
    <x v="2"/>
  </r>
  <r>
    <x v="464"/>
    <x v="1"/>
    <x v="1"/>
    <n v="78.59"/>
    <n v="6"/>
    <n v="7.96"/>
    <n v="46.88"/>
    <n v="80.92"/>
    <n v="4"/>
    <n v="0"/>
    <n v="67.304000000000002"/>
    <n v="59.356000000000009"/>
    <n v="60.1892"/>
    <x v="1"/>
    <x v="2"/>
    <x v="1"/>
  </r>
  <r>
    <x v="465"/>
    <x v="0"/>
    <x v="1"/>
    <n v="79.39"/>
    <n v="0"/>
    <n v="7.54"/>
    <n v="70.56"/>
    <n v="67.28"/>
    <n v="3"/>
    <n v="1"/>
    <n v="68.592000000000013"/>
    <n v="50.835999999999999"/>
    <n v="57.906000000000006"/>
    <x v="1"/>
    <x v="2"/>
    <x v="0"/>
  </r>
  <r>
    <x v="466"/>
    <x v="4"/>
    <x v="0"/>
    <n v="59.22"/>
    <n v="2"/>
    <n v="2.16"/>
    <n v="92.22"/>
    <n v="49.72"/>
    <n v="3"/>
    <n v="1"/>
    <n v="66.72"/>
    <n v="36.008000000000003"/>
    <n v="52.334399999999995"/>
    <x v="0"/>
    <x v="0"/>
    <x v="0"/>
  </r>
  <r>
    <x v="467"/>
    <x v="7"/>
    <x v="1"/>
    <n v="68.11"/>
    <n v="3"/>
    <n v="3.36"/>
    <n v="14.2"/>
    <n v="95.03"/>
    <n v="5"/>
    <n v="2"/>
    <n v="62.698"/>
    <n v="47.963999999999999"/>
    <n v="54.507999999999996"/>
    <x v="0"/>
    <x v="0"/>
    <x v="2"/>
  </r>
  <r>
    <x v="468"/>
    <x v="2"/>
    <x v="0"/>
    <n v="66.73"/>
    <n v="3"/>
    <n v="4.66"/>
    <n v="30.42"/>
    <n v="29.99"/>
    <n v="19"/>
    <n v="0"/>
    <n v="30.161999999999999"/>
    <n v="42.012000000000008"/>
    <n v="40.200800000000001"/>
    <x v="0"/>
    <x v="0"/>
    <x v="1"/>
  </r>
  <r>
    <x v="469"/>
    <x v="1"/>
    <x v="0"/>
    <n v="51.31"/>
    <n v="4"/>
    <n v="7.73"/>
    <n v="13.92"/>
    <n v="1.92"/>
    <n v="12"/>
    <n v="2"/>
    <n v="6.7200000000000006"/>
    <n v="51.984000000000002"/>
    <n v="25.627200000000002"/>
    <x v="0"/>
    <x v="1"/>
    <x v="1"/>
  </r>
  <r>
    <x v="470"/>
    <x v="2"/>
    <x v="0"/>
    <n v="51.21"/>
    <n v="2"/>
    <n v="9.15"/>
    <n v="61.2"/>
    <n v="43.2"/>
    <n v="4"/>
    <n v="3"/>
    <n v="50.400000000000006"/>
    <n v="54.784000000000006"/>
    <n v="48.675200000000004"/>
    <x v="0"/>
    <x v="0"/>
    <x v="1"/>
  </r>
  <r>
    <x v="471"/>
    <x v="4"/>
    <x v="2"/>
    <n v="91.58"/>
    <n v="2"/>
    <n v="1.89"/>
    <n v="30.63"/>
    <n v="3.3"/>
    <n v="6"/>
    <n v="2"/>
    <n v="14.232000000000001"/>
    <n v="52.411999999999999"/>
    <n v="27.262799999999999"/>
    <x v="0"/>
    <x v="0"/>
    <x v="0"/>
  </r>
  <r>
    <x v="472"/>
    <x v="3"/>
    <x v="0"/>
    <n v="63.65"/>
    <n v="0"/>
    <n v="9.2200000000000006"/>
    <n v="32.61"/>
    <n v="95.39"/>
    <n v="19"/>
    <n v="4"/>
    <n v="70.278000000000006"/>
    <n v="59.900000000000006"/>
    <n v="69.636800000000008"/>
    <x v="1"/>
    <x v="0"/>
    <x v="2"/>
  </r>
  <r>
    <x v="473"/>
    <x v="1"/>
    <x v="1"/>
    <n v="75.900000000000006"/>
    <n v="6"/>
    <n v="6.96"/>
    <n v="7.09"/>
    <n v="20.99"/>
    <n v="0"/>
    <n v="1"/>
    <n v="15.43"/>
    <n v="60.28"/>
    <n v="27.341999999999999"/>
    <x v="0"/>
    <x v="0"/>
    <x v="1"/>
  </r>
  <r>
    <x v="474"/>
    <x v="3"/>
    <x v="1"/>
    <n v="64.94"/>
    <n v="10"/>
    <n v="6.11"/>
    <n v="34.979999999999997"/>
    <n v="78.89"/>
    <n v="13"/>
    <n v="1"/>
    <n v="61.325999999999993"/>
    <n v="62.195999999999998"/>
    <n v="61.954399999999993"/>
    <x v="1"/>
    <x v="0"/>
    <x v="2"/>
  </r>
  <r>
    <x v="475"/>
    <x v="4"/>
    <x v="1"/>
    <n v="97.03"/>
    <n v="9"/>
    <n v="2"/>
    <n v="86.25"/>
    <n v="77.459999999999994"/>
    <n v="3"/>
    <n v="0"/>
    <n v="80.975999999999999"/>
    <n v="60.812000000000005"/>
    <n v="68.3292"/>
    <x v="1"/>
    <x v="2"/>
    <x v="0"/>
  </r>
  <r>
    <x v="476"/>
    <x v="7"/>
    <x v="0"/>
    <n v="62.96"/>
    <n v="0"/>
    <n v="0.56000000000000005"/>
    <n v="23.31"/>
    <n v="21.77"/>
    <n v="16"/>
    <n v="0"/>
    <n v="22.385999999999999"/>
    <n v="26.304000000000002"/>
    <n v="29.322800000000001"/>
    <x v="0"/>
    <x v="0"/>
    <x v="2"/>
  </r>
  <r>
    <x v="477"/>
    <x v="4"/>
    <x v="1"/>
    <n v="71.48"/>
    <n v="1"/>
    <n v="5.68"/>
    <n v="69.52"/>
    <n v="62.12"/>
    <n v="13"/>
    <n v="3"/>
    <n v="65.08"/>
    <n v="53.951999999999998"/>
    <n v="61.733599999999996"/>
    <x v="1"/>
    <x v="2"/>
    <x v="0"/>
  </r>
  <r>
    <x v="478"/>
    <x v="7"/>
    <x v="0"/>
    <n v="93.64"/>
    <n v="3"/>
    <n v="6.52"/>
    <n v="62.96"/>
    <n v="4.8099999999999996"/>
    <n v="15"/>
    <n v="5"/>
    <n v="28.07"/>
    <n v="76.496000000000009"/>
    <n v="47.290800000000004"/>
    <x v="0"/>
    <x v="0"/>
    <x v="2"/>
  </r>
  <r>
    <x v="479"/>
    <x v="1"/>
    <x v="0"/>
    <n v="92.1"/>
    <n v="3"/>
    <n v="2.11"/>
    <n v="86.35"/>
    <n v="48.36"/>
    <n v="13"/>
    <n v="3"/>
    <n v="63.555999999999997"/>
    <n v="59.059999999999995"/>
    <n v="62.351599999999991"/>
    <x v="1"/>
    <x v="2"/>
    <x v="1"/>
  </r>
  <r>
    <x v="480"/>
    <x v="1"/>
    <x v="1"/>
    <n v="59.31"/>
    <n v="4"/>
    <n v="5.56"/>
    <n v="13.23"/>
    <n v="1.46"/>
    <n v="15"/>
    <n v="4"/>
    <n v="6.168000000000001"/>
    <n v="58.844000000000001"/>
    <n v="28.853999999999999"/>
    <x v="0"/>
    <x v="1"/>
    <x v="1"/>
  </r>
  <r>
    <x v="481"/>
    <x v="6"/>
    <x v="0"/>
    <n v="90.13"/>
    <n v="10"/>
    <n v="8.56"/>
    <n v="97.76"/>
    <n v="92.11"/>
    <n v="19"/>
    <n v="0"/>
    <n v="94.37"/>
    <n v="73.171999999999997"/>
    <n v="88.073599999999999"/>
    <x v="3"/>
    <x v="2"/>
    <x v="1"/>
  </r>
  <r>
    <x v="482"/>
    <x v="2"/>
    <x v="1"/>
    <n v="72.91"/>
    <n v="1"/>
    <n v="8.35"/>
    <n v="58.26"/>
    <n v="97.61"/>
    <n v="7"/>
    <n v="0"/>
    <n v="81.87"/>
    <n v="47.864000000000004"/>
    <n v="66.981200000000001"/>
    <x v="1"/>
    <x v="2"/>
    <x v="1"/>
  </r>
  <r>
    <x v="483"/>
    <x v="6"/>
    <x v="1"/>
    <n v="74.150000000000006"/>
    <n v="3"/>
    <n v="9.27"/>
    <n v="99.55"/>
    <n v="22.23"/>
    <n v="2"/>
    <n v="3"/>
    <n v="53.158000000000001"/>
    <n v="66.2"/>
    <n v="52.754800000000003"/>
    <x v="0"/>
    <x v="0"/>
    <x v="1"/>
  </r>
  <r>
    <x v="484"/>
    <x v="2"/>
    <x v="0"/>
    <n v="56.67"/>
    <n v="0"/>
    <n v="3.66"/>
    <n v="91.15"/>
    <n v="20.81"/>
    <n v="18"/>
    <n v="3"/>
    <n v="48.945999999999998"/>
    <n v="41.988"/>
    <n v="50.963999999999999"/>
    <x v="0"/>
    <x v="1"/>
    <x v="1"/>
  </r>
  <r>
    <x v="485"/>
    <x v="6"/>
    <x v="0"/>
    <n v="54.03"/>
    <n v="1"/>
    <n v="3.18"/>
    <n v="22.15"/>
    <n v="75.37"/>
    <n v="0"/>
    <n v="3"/>
    <n v="54.082000000000001"/>
    <n v="41.972000000000001"/>
    <n v="45.040799999999997"/>
    <x v="0"/>
    <x v="0"/>
    <x v="1"/>
  </r>
  <r>
    <x v="486"/>
    <x v="3"/>
    <x v="0"/>
    <n v="86.4"/>
    <n v="0"/>
    <n v="7.49"/>
    <n v="5.62"/>
    <n v="25.34"/>
    <n v="1"/>
    <n v="1"/>
    <n v="17.451999999999998"/>
    <n v="53.540000000000006"/>
    <n v="27.033200000000001"/>
    <x v="0"/>
    <x v="0"/>
    <x v="2"/>
  </r>
  <r>
    <x v="487"/>
    <x v="1"/>
    <x v="1"/>
    <n v="74.819999999999993"/>
    <n v="9"/>
    <n v="4.3099999999999996"/>
    <n v="25.56"/>
    <n v="89.51"/>
    <n v="14"/>
    <n v="2"/>
    <n v="63.930000000000007"/>
    <n v="64.548000000000002"/>
    <n v="64.722400000000007"/>
    <x v="1"/>
    <x v="2"/>
    <x v="1"/>
  </r>
  <r>
    <x v="488"/>
    <x v="7"/>
    <x v="1"/>
    <n v="71.84"/>
    <n v="9"/>
    <n v="0.88"/>
    <n v="52.76"/>
    <n v="57.39"/>
    <n v="9"/>
    <n v="2"/>
    <n v="55.537999999999997"/>
    <n v="56.496000000000002"/>
    <n v="54.771599999999992"/>
    <x v="0"/>
    <x v="0"/>
    <x v="2"/>
  </r>
  <r>
    <x v="489"/>
    <x v="2"/>
    <x v="0"/>
    <n v="86.48"/>
    <n v="3"/>
    <n v="2.83"/>
    <n v="17.16"/>
    <n v="35.08"/>
    <n v="17"/>
    <n v="0"/>
    <n v="27.911999999999999"/>
    <n v="46.25200000000001"/>
    <n v="39.122799999999998"/>
    <x v="0"/>
    <x v="0"/>
    <x v="1"/>
  </r>
  <r>
    <x v="490"/>
    <x v="4"/>
    <x v="0"/>
    <n v="88.28"/>
    <n v="3"/>
    <n v="4.1900000000000004"/>
    <n v="16.75"/>
    <n v="83.27"/>
    <n v="13"/>
    <n v="1"/>
    <n v="56.661999999999999"/>
    <n v="53.692000000000007"/>
    <n v="56.604799999999997"/>
    <x v="1"/>
    <x v="0"/>
    <x v="0"/>
  </r>
  <r>
    <x v="491"/>
    <x v="2"/>
    <x v="0"/>
    <n v="57.95"/>
    <n v="6"/>
    <n v="2.93"/>
    <n v="46.26"/>
    <n v="49.34"/>
    <n v="16"/>
    <n v="3"/>
    <n v="48.108000000000004"/>
    <n v="53.040000000000006"/>
    <n v="52.776800000000001"/>
    <x v="0"/>
    <x v="1"/>
    <x v="1"/>
  </r>
  <r>
    <x v="492"/>
    <x v="7"/>
    <x v="1"/>
    <n v="80.510000000000005"/>
    <n v="9"/>
    <n v="3.32"/>
    <n v="3.33"/>
    <n v="91.16"/>
    <n v="12"/>
    <n v="0"/>
    <n v="56.027999999999999"/>
    <n v="56.844000000000001"/>
    <n v="56.67"/>
    <x v="1"/>
    <x v="0"/>
    <x v="2"/>
  </r>
  <r>
    <x v="493"/>
    <x v="6"/>
    <x v="0"/>
    <n v="56.77"/>
    <n v="10"/>
    <n v="2.94"/>
    <n v="12.19"/>
    <n v="92.8"/>
    <n v="0"/>
    <n v="1"/>
    <n v="60.555999999999997"/>
    <n v="52.588000000000001"/>
    <n v="52.11"/>
    <x v="0"/>
    <x v="0"/>
    <x v="1"/>
  </r>
  <r>
    <x v="494"/>
    <x v="2"/>
    <x v="1"/>
    <n v="87.57"/>
    <n v="10"/>
    <n v="0.41"/>
    <n v="41.59"/>
    <n v="16.54"/>
    <n v="4"/>
    <n v="4"/>
    <n v="26.560000000000002"/>
    <n v="71.847999999999999"/>
    <n v="39.490399999999994"/>
    <x v="0"/>
    <x v="0"/>
    <x v="1"/>
  </r>
  <r>
    <x v="495"/>
    <x v="0"/>
    <x v="1"/>
    <n v="82.85"/>
    <n v="8"/>
    <n v="6.37"/>
    <n v="6.31"/>
    <n v="0.23"/>
    <n v="12"/>
    <n v="5"/>
    <n v="2.6619999999999999"/>
    <n v="81.88"/>
    <n v="32.161199999999994"/>
    <x v="0"/>
    <x v="0"/>
    <x v="0"/>
  </r>
  <r>
    <x v="496"/>
    <x v="3"/>
    <x v="2"/>
    <n v="97.83"/>
    <n v="8"/>
    <n v="5.97"/>
    <n v="39.68"/>
    <n v="98.39"/>
    <n v="13"/>
    <n v="1"/>
    <n v="74.906000000000006"/>
    <n v="71.072000000000003"/>
    <n v="72.765200000000007"/>
    <x v="2"/>
    <x v="2"/>
    <x v="2"/>
  </r>
  <r>
    <x v="497"/>
    <x v="1"/>
    <x v="1"/>
    <n v="53.45"/>
    <n v="4"/>
    <n v="6.53"/>
    <n v="47.4"/>
    <n v="90.61"/>
    <n v="2"/>
    <n v="0"/>
    <n v="73.325999999999993"/>
    <n v="42.440000000000005"/>
    <n v="57.727599999999995"/>
    <x v="1"/>
    <x v="0"/>
    <x v="1"/>
  </r>
  <r>
    <x v="498"/>
    <x v="7"/>
    <x v="2"/>
    <n v="52.85"/>
    <n v="9"/>
    <n v="1.92"/>
    <n v="45.13"/>
    <n v="5.54"/>
    <n v="14"/>
    <n v="2"/>
    <n v="21.376000000000005"/>
    <n v="50.980000000000004"/>
    <n v="35.119600000000005"/>
    <x v="0"/>
    <x v="1"/>
    <x v="2"/>
  </r>
  <r>
    <x v="499"/>
    <x v="1"/>
    <x v="1"/>
    <n v="64.11"/>
    <n v="0"/>
    <n v="2.96"/>
    <n v="86.92"/>
    <n v="83.3"/>
    <n v="18"/>
    <n v="3"/>
    <n v="84.74799999999999"/>
    <n v="43.564"/>
    <n v="72.917999999999992"/>
    <x v="2"/>
    <x v="0"/>
    <x v="1"/>
  </r>
  <r>
    <x v="500"/>
    <x v="0"/>
    <x v="1"/>
    <n v="63.09"/>
    <n v="0"/>
    <n v="6.2"/>
    <n v="53.01"/>
    <n v="45.78"/>
    <n v="16"/>
    <n v="5"/>
    <n v="48.671999999999997"/>
    <n v="57.636000000000003"/>
    <n v="54.494"/>
    <x v="0"/>
    <x v="0"/>
    <x v="0"/>
  </r>
  <r>
    <x v="501"/>
    <x v="2"/>
    <x v="0"/>
    <n v="62.35"/>
    <n v="5"/>
    <n v="6"/>
    <n v="46.8"/>
    <n v="25.9"/>
    <n v="2"/>
    <n v="4"/>
    <n v="34.26"/>
    <n v="62.94"/>
    <n v="40.437999999999995"/>
    <x v="0"/>
    <x v="0"/>
    <x v="1"/>
  </r>
  <r>
    <x v="502"/>
    <x v="2"/>
    <x v="0"/>
    <n v="95.31"/>
    <n v="1"/>
    <n v="5.0599999999999996"/>
    <n v="41.07"/>
    <n v="87.87"/>
    <n v="15"/>
    <n v="5"/>
    <n v="69.150000000000006"/>
    <n v="70.244"/>
    <n v="70.063199999999995"/>
    <x v="2"/>
    <x v="2"/>
    <x v="1"/>
  </r>
  <r>
    <x v="503"/>
    <x v="4"/>
    <x v="0"/>
    <n v="62.48"/>
    <n v="7"/>
    <n v="3.5"/>
    <n v="81.760000000000005"/>
    <n v="19.670000000000002"/>
    <n v="13"/>
    <n v="5"/>
    <n v="44.506"/>
    <n v="65.992000000000004"/>
    <n v="53.001199999999997"/>
    <x v="0"/>
    <x v="0"/>
    <x v="0"/>
  </r>
  <r>
    <x v="504"/>
    <x v="0"/>
    <x v="0"/>
    <n v="63.6"/>
    <n v="8"/>
    <n v="9.1300000000000008"/>
    <n v="89.51"/>
    <n v="94.73"/>
    <n v="11"/>
    <n v="1"/>
    <n v="92.641999999999996"/>
    <n v="63.7"/>
    <n v="80.1952"/>
    <x v="2"/>
    <x v="0"/>
    <x v="0"/>
  </r>
  <r>
    <x v="505"/>
    <x v="7"/>
    <x v="0"/>
    <n v="87.97"/>
    <n v="3"/>
    <n v="3.4"/>
    <n v="85.32"/>
    <n v="20.56"/>
    <n v="11"/>
    <n v="0"/>
    <n v="46.463999999999999"/>
    <n v="47.988"/>
    <n v="47.774799999999999"/>
    <x v="0"/>
    <x v="0"/>
    <x v="2"/>
  </r>
  <r>
    <x v="506"/>
    <x v="4"/>
    <x v="0"/>
    <n v="72.489999999999995"/>
    <n v="4"/>
    <n v="4.5599999999999996"/>
    <n v="67.349999999999994"/>
    <n v="61.37"/>
    <n v="10"/>
    <n v="0"/>
    <n v="63.761999999999993"/>
    <n v="46.115999999999993"/>
    <n v="57.091999999999999"/>
    <x v="1"/>
    <x v="2"/>
    <x v="0"/>
  </r>
  <r>
    <x v="507"/>
    <x v="3"/>
    <x v="0"/>
    <n v="88.84"/>
    <n v="10"/>
    <n v="6.78"/>
    <n v="13.74"/>
    <n v="22.31"/>
    <n v="16"/>
    <n v="5"/>
    <n v="18.881999999999998"/>
    <n v="89.096000000000004"/>
    <n v="46.058"/>
    <x v="0"/>
    <x v="0"/>
    <x v="2"/>
  </r>
  <r>
    <x v="508"/>
    <x v="4"/>
    <x v="1"/>
    <n v="53.27"/>
    <n v="7"/>
    <n v="5.43"/>
    <n v="27.69"/>
    <n v="54.57"/>
    <n v="7"/>
    <n v="3"/>
    <n v="43.817999999999998"/>
    <n v="58.168000000000006"/>
    <n v="47.241199999999999"/>
    <x v="0"/>
    <x v="1"/>
    <x v="0"/>
  </r>
  <r>
    <x v="509"/>
    <x v="5"/>
    <x v="0"/>
    <n v="74.38"/>
    <n v="2"/>
    <n v="3.47"/>
    <n v="4.6100000000000003"/>
    <n v="68.400000000000006"/>
    <n v="16"/>
    <n v="0"/>
    <n v="42.884"/>
    <n v="40.691999999999993"/>
    <n v="45.937999999999995"/>
    <x v="0"/>
    <x v="0"/>
    <x v="2"/>
  </r>
  <r>
    <x v="510"/>
    <x v="7"/>
    <x v="1"/>
    <n v="51.68"/>
    <n v="4"/>
    <n v="4.3600000000000003"/>
    <n v="93.08"/>
    <n v="19.02"/>
    <n v="19"/>
    <n v="5"/>
    <n v="48.643999999999998"/>
    <n v="57.392000000000003"/>
    <n v="55.903999999999996"/>
    <x v="1"/>
    <x v="1"/>
    <x v="2"/>
  </r>
  <r>
    <x v="511"/>
    <x v="5"/>
    <x v="2"/>
    <n v="53.13"/>
    <n v="2"/>
    <n v="7.94"/>
    <n v="66.08"/>
    <n v="52.09"/>
    <n v="10"/>
    <n v="0"/>
    <n v="57.686000000000007"/>
    <n v="41.132000000000005"/>
    <n v="51.9512"/>
    <x v="0"/>
    <x v="0"/>
    <x v="2"/>
  </r>
  <r>
    <x v="512"/>
    <x v="0"/>
    <x v="2"/>
    <n v="95.32"/>
    <n v="9"/>
    <n v="2.78"/>
    <n v="74.64"/>
    <n v="46.91"/>
    <n v="1"/>
    <n v="3"/>
    <n v="58.001999999999995"/>
    <n v="73.688000000000002"/>
    <n v="57.407599999999995"/>
    <x v="1"/>
    <x v="0"/>
    <x v="0"/>
  </r>
  <r>
    <x v="513"/>
    <x v="6"/>
    <x v="1"/>
    <n v="56.96"/>
    <n v="2"/>
    <n v="1.42"/>
    <n v="31.16"/>
    <n v="7.1"/>
    <n v="9"/>
    <n v="4"/>
    <n v="16.724"/>
    <n v="45.624000000000002"/>
    <n v="28.221600000000002"/>
    <x v="0"/>
    <x v="1"/>
    <x v="1"/>
  </r>
  <r>
    <x v="514"/>
    <x v="5"/>
    <x v="0"/>
    <n v="76.62"/>
    <n v="2"/>
    <n v="3.13"/>
    <n v="84.57"/>
    <n v="81.83"/>
    <n v="9"/>
    <n v="5"/>
    <n v="82.925999999999988"/>
    <n v="60.908000000000001"/>
    <n v="72.527999999999992"/>
    <x v="2"/>
    <x v="2"/>
    <x v="2"/>
  </r>
  <r>
    <x v="515"/>
    <x v="3"/>
    <x v="2"/>
    <n v="70.55"/>
    <n v="6"/>
    <n v="8.5"/>
    <n v="25.96"/>
    <n v="33.57"/>
    <n v="10"/>
    <n v="2"/>
    <n v="30.526"/>
    <n v="65.22"/>
    <n v="42.881599999999999"/>
    <x v="0"/>
    <x v="0"/>
    <x v="2"/>
  </r>
  <r>
    <x v="516"/>
    <x v="4"/>
    <x v="1"/>
    <n v="67.37"/>
    <n v="6"/>
    <n v="0.89"/>
    <n v="0.16"/>
    <n v="57.46"/>
    <n v="5"/>
    <n v="2"/>
    <n v="34.54"/>
    <n v="48.728000000000009"/>
    <n v="37.842399999999998"/>
    <x v="0"/>
    <x v="0"/>
    <x v="0"/>
  </r>
  <r>
    <x v="517"/>
    <x v="6"/>
    <x v="0"/>
    <n v="94.99"/>
    <n v="6"/>
    <n v="9.92"/>
    <n v="37.64"/>
    <n v="51.48"/>
    <n v="3"/>
    <n v="5"/>
    <n v="45.944000000000003"/>
    <n v="89.835999999999999"/>
    <n v="56.017200000000003"/>
    <x v="1"/>
    <x v="0"/>
    <x v="1"/>
  </r>
  <r>
    <x v="518"/>
    <x v="4"/>
    <x v="2"/>
    <n v="51.09"/>
    <n v="9"/>
    <n v="5.41"/>
    <n v="57.08"/>
    <n v="51.33"/>
    <n v="11"/>
    <n v="1"/>
    <n v="53.629999999999995"/>
    <n v="53.256000000000007"/>
    <n v="53.654799999999994"/>
    <x v="0"/>
    <x v="0"/>
    <x v="0"/>
  </r>
  <r>
    <x v="519"/>
    <x v="5"/>
    <x v="1"/>
    <n v="83.19"/>
    <n v="7"/>
    <n v="9.85"/>
    <n v="47.87"/>
    <n v="10.72"/>
    <n v="10"/>
    <n v="4"/>
    <n v="25.58"/>
    <n v="82.975999999999999"/>
    <n v="45.240799999999993"/>
    <x v="0"/>
    <x v="0"/>
    <x v="2"/>
  </r>
  <r>
    <x v="520"/>
    <x v="4"/>
    <x v="0"/>
    <n v="98.17"/>
    <n v="4"/>
    <n v="9.39"/>
    <n v="86.21"/>
    <n v="42.35"/>
    <n v="12"/>
    <n v="1"/>
    <n v="59.894000000000005"/>
    <n v="70.048000000000002"/>
    <n v="62.950800000000001"/>
    <x v="1"/>
    <x v="0"/>
    <x v="0"/>
  </r>
  <r>
    <x v="521"/>
    <x v="0"/>
    <x v="1"/>
    <n v="78.010000000000005"/>
    <n v="4"/>
    <n v="4.53"/>
    <n v="10.54"/>
    <n v="45.24"/>
    <n v="4"/>
    <n v="2"/>
    <n v="31.360000000000003"/>
    <n v="56.26400000000001"/>
    <n v="37.6952"/>
    <x v="0"/>
    <x v="0"/>
    <x v="0"/>
  </r>
  <r>
    <x v="522"/>
    <x v="6"/>
    <x v="2"/>
    <n v="96.84"/>
    <n v="3"/>
    <n v="1.98"/>
    <n v="55.38"/>
    <n v="73.36"/>
    <n v="5"/>
    <n v="3"/>
    <n v="66.168000000000006"/>
    <n v="60.696000000000005"/>
    <n v="60.409599999999998"/>
    <x v="1"/>
    <x v="2"/>
    <x v="1"/>
  </r>
  <r>
    <x v="523"/>
    <x v="0"/>
    <x v="2"/>
    <n v="52.61"/>
    <n v="6"/>
    <n v="1.65"/>
    <n v="51.3"/>
    <n v="84"/>
    <n v="0"/>
    <n v="5"/>
    <n v="70.92"/>
    <n v="56.343999999999994"/>
    <n v="59.455199999999998"/>
    <x v="1"/>
    <x v="0"/>
    <x v="0"/>
  </r>
  <r>
    <x v="524"/>
    <x v="5"/>
    <x v="2"/>
    <n v="70.94"/>
    <n v="9"/>
    <n v="2.4"/>
    <n v="28.14"/>
    <n v="54.5"/>
    <n v="5"/>
    <n v="0"/>
    <n v="43.955999999999996"/>
    <n v="51.176000000000002"/>
    <n v="44.226399999999998"/>
    <x v="0"/>
    <x v="0"/>
    <x v="2"/>
  </r>
  <r>
    <x v="525"/>
    <x v="0"/>
    <x v="0"/>
    <n v="63.01"/>
    <n v="3"/>
    <n v="7.1"/>
    <n v="82.22"/>
    <n v="8.68"/>
    <n v="17"/>
    <n v="2"/>
    <n v="38.095999999999997"/>
    <n v="53.403999999999996"/>
    <n v="47.378799999999998"/>
    <x v="0"/>
    <x v="0"/>
    <x v="0"/>
  </r>
  <r>
    <x v="526"/>
    <x v="3"/>
    <x v="0"/>
    <n v="86.54"/>
    <n v="1"/>
    <n v="2.73"/>
    <n v="75.28"/>
    <n v="23.68"/>
    <n v="8"/>
    <n v="4"/>
    <n v="44.32"/>
    <n v="58.076000000000008"/>
    <n v="48.014800000000001"/>
    <x v="0"/>
    <x v="0"/>
    <x v="2"/>
  </r>
  <r>
    <x v="527"/>
    <x v="5"/>
    <x v="0"/>
    <n v="99.06"/>
    <n v="3"/>
    <n v="3.41"/>
    <n v="73.290000000000006"/>
    <n v="16.489999999999998"/>
    <n v="14"/>
    <n v="2"/>
    <n v="39.21"/>
    <n v="60.444000000000003"/>
    <n v="48.659199999999998"/>
    <x v="0"/>
    <x v="0"/>
    <x v="2"/>
  </r>
  <r>
    <x v="528"/>
    <x v="5"/>
    <x v="1"/>
    <n v="62.83"/>
    <n v="7"/>
    <n v="4.49"/>
    <n v="87.62"/>
    <n v="12.46"/>
    <n v="7"/>
    <n v="4"/>
    <n v="42.524000000000001"/>
    <n v="64.112000000000009"/>
    <n v="48.248000000000005"/>
    <x v="0"/>
    <x v="0"/>
    <x v="2"/>
  </r>
  <r>
    <x v="529"/>
    <x v="5"/>
    <x v="0"/>
    <n v="82.71"/>
    <n v="8"/>
    <n v="9.1300000000000008"/>
    <n v="72.28"/>
    <n v="36.590000000000003"/>
    <n v="18"/>
    <n v="4"/>
    <n v="50.866"/>
    <n v="83.343999999999994"/>
    <n v="64.522799999999989"/>
    <x v="1"/>
    <x v="0"/>
    <x v="2"/>
  </r>
  <r>
    <x v="530"/>
    <x v="7"/>
    <x v="1"/>
    <n v="59.9"/>
    <n v="2"/>
    <n v="1.89"/>
    <n v="23.18"/>
    <n v="22.94"/>
    <n v="15"/>
    <n v="5"/>
    <n v="23.036000000000001"/>
    <n v="51.74"/>
    <n v="36.843600000000002"/>
    <x v="0"/>
    <x v="1"/>
    <x v="2"/>
  </r>
  <r>
    <x v="531"/>
    <x v="4"/>
    <x v="0"/>
    <n v="78.27"/>
    <n v="6"/>
    <n v="0.05"/>
    <n v="70.56"/>
    <n v="21.83"/>
    <n v="5"/>
    <n v="4"/>
    <n v="41.322000000000003"/>
    <n v="59.408000000000001"/>
    <n v="45.115600000000001"/>
    <x v="0"/>
    <x v="0"/>
    <x v="0"/>
  </r>
  <r>
    <x v="532"/>
    <x v="7"/>
    <x v="1"/>
    <n v="73.2"/>
    <n v="8"/>
    <n v="0.6"/>
    <n v="30.77"/>
    <n v="5.47"/>
    <n v="5"/>
    <n v="1"/>
    <n v="15.59"/>
    <n v="50.480000000000004"/>
    <n v="26.997999999999998"/>
    <x v="0"/>
    <x v="0"/>
    <x v="2"/>
  </r>
  <r>
    <x v="533"/>
    <x v="7"/>
    <x v="1"/>
    <n v="98.6"/>
    <n v="10"/>
    <n v="9.0500000000000007"/>
    <n v="24.22"/>
    <n v="1.77"/>
    <n v="2"/>
    <n v="3"/>
    <n v="10.75"/>
    <n v="89.539999999999992"/>
    <n v="34.311999999999998"/>
    <x v="0"/>
    <x v="0"/>
    <x v="2"/>
  </r>
  <r>
    <x v="534"/>
    <x v="3"/>
    <x v="1"/>
    <n v="80.430000000000007"/>
    <n v="3"/>
    <n v="6.48"/>
    <n v="7.3"/>
    <n v="10.28"/>
    <n v="9"/>
    <n v="2"/>
    <n v="9.0879999999999992"/>
    <n v="59.132000000000005"/>
    <n v="27.692399999999999"/>
    <x v="0"/>
    <x v="0"/>
    <x v="2"/>
  </r>
  <r>
    <x v="535"/>
    <x v="6"/>
    <x v="0"/>
    <n v="67.48"/>
    <n v="9"/>
    <n v="2.73"/>
    <n v="74.400000000000006"/>
    <n v="17.22"/>
    <n v="0"/>
    <n v="3"/>
    <n v="40.092000000000006"/>
    <n v="62.452000000000005"/>
    <n v="42.790800000000004"/>
    <x v="0"/>
    <x v="0"/>
    <x v="1"/>
  </r>
  <r>
    <x v="536"/>
    <x v="4"/>
    <x v="1"/>
    <n v="55.7"/>
    <n v="2"/>
    <n v="1.77"/>
    <n v="71.099999999999994"/>
    <n v="43.1"/>
    <n v="13"/>
    <n v="0"/>
    <n v="54.3"/>
    <n v="29.82"/>
    <n v="48.025999999999996"/>
    <x v="0"/>
    <x v="0"/>
    <x v="0"/>
  </r>
  <r>
    <x v="537"/>
    <x v="0"/>
    <x v="0"/>
    <n v="57.56"/>
    <n v="4"/>
    <n v="2.94"/>
    <n v="23.45"/>
    <n v="51.05"/>
    <n v="3"/>
    <n v="2"/>
    <n v="40.01"/>
    <n v="44.904000000000003"/>
    <n v="38.977199999999996"/>
    <x v="0"/>
    <x v="1"/>
    <x v="0"/>
  </r>
  <r>
    <x v="538"/>
    <x v="2"/>
    <x v="1"/>
    <n v="61.27"/>
    <n v="0"/>
    <n v="1.1499999999999999"/>
    <n v="74.94"/>
    <n v="14.06"/>
    <n v="11"/>
    <n v="3"/>
    <n v="38.411999999999999"/>
    <n v="38.808000000000007"/>
    <n v="40.189599999999999"/>
    <x v="0"/>
    <x v="0"/>
    <x v="1"/>
  </r>
  <r>
    <x v="539"/>
    <x v="5"/>
    <x v="1"/>
    <n v="62.55"/>
    <n v="2"/>
    <n v="9.42"/>
    <n v="91.78"/>
    <n v="42.48"/>
    <n v="5"/>
    <n v="3"/>
    <n v="62.2"/>
    <n v="59.86"/>
    <n v="57.777999999999999"/>
    <x v="1"/>
    <x v="0"/>
    <x v="2"/>
  </r>
  <r>
    <x v="540"/>
    <x v="0"/>
    <x v="0"/>
    <n v="92.53"/>
    <n v="7"/>
    <n v="7.84"/>
    <n v="10.8"/>
    <n v="34.17"/>
    <n v="10"/>
    <n v="5"/>
    <n v="24.821999999999999"/>
    <n v="86.692000000000007"/>
    <n v="45.900799999999997"/>
    <x v="0"/>
    <x v="0"/>
    <x v="0"/>
  </r>
  <r>
    <x v="541"/>
    <x v="5"/>
    <x v="0"/>
    <n v="78.06"/>
    <n v="10"/>
    <n v="4.62"/>
    <n v="23.26"/>
    <n v="18.34"/>
    <n v="11"/>
    <n v="5"/>
    <n v="20.308"/>
    <n v="80.463999999999999"/>
    <n v="41.823999999999998"/>
    <x v="0"/>
    <x v="0"/>
    <x v="2"/>
  </r>
  <r>
    <x v="542"/>
    <x v="3"/>
    <x v="1"/>
    <n v="76.17"/>
    <n v="7"/>
    <n v="8.65"/>
    <n v="75.03"/>
    <n v="0.68"/>
    <n v="9"/>
    <n v="0"/>
    <n v="30.42"/>
    <n v="61.768000000000001"/>
    <n v="41.282399999999996"/>
    <x v="0"/>
    <x v="0"/>
    <x v="2"/>
  </r>
  <r>
    <x v="543"/>
    <x v="5"/>
    <x v="0"/>
    <n v="55.74"/>
    <n v="3"/>
    <n v="2.4900000000000002"/>
    <n v="27.45"/>
    <n v="46.7"/>
    <n v="17"/>
    <n v="4"/>
    <n v="39"/>
    <n v="49.276000000000003"/>
    <n v="46.6828"/>
    <x v="0"/>
    <x v="1"/>
    <x v="2"/>
  </r>
  <r>
    <x v="544"/>
    <x v="7"/>
    <x v="0"/>
    <n v="93.01"/>
    <n v="1"/>
    <n v="7.17"/>
    <n v="62.47"/>
    <n v="68.569999999999993"/>
    <n v="6"/>
    <n v="2"/>
    <n v="66.13"/>
    <n v="61.543999999999997"/>
    <n v="61.141199999999998"/>
    <x v="1"/>
    <x v="2"/>
    <x v="2"/>
  </r>
  <r>
    <x v="545"/>
    <x v="4"/>
    <x v="0"/>
    <n v="86.14"/>
    <n v="7"/>
    <n v="8.56"/>
    <n v="8.1199999999999992"/>
    <n v="22.63"/>
    <n v="6"/>
    <n v="5"/>
    <n v="16.826000000000001"/>
    <n v="85.576000000000008"/>
    <n v="38.7684"/>
    <x v="0"/>
    <x v="0"/>
    <x v="0"/>
  </r>
  <r>
    <x v="546"/>
    <x v="2"/>
    <x v="1"/>
    <n v="53.38"/>
    <n v="7"/>
    <n v="3.57"/>
    <n v="45.22"/>
    <n v="13.18"/>
    <n v="10"/>
    <n v="2"/>
    <n v="25.996000000000002"/>
    <n v="50.492000000000004"/>
    <n v="35.745199999999997"/>
    <x v="0"/>
    <x v="1"/>
    <x v="1"/>
  </r>
  <r>
    <x v="547"/>
    <x v="1"/>
    <x v="1"/>
    <n v="85.39"/>
    <n v="9"/>
    <n v="7.57"/>
    <n v="73.91"/>
    <n v="88.7"/>
    <n v="3"/>
    <n v="0"/>
    <n v="82.783999999999992"/>
    <n v="67.295999999999992"/>
    <n v="71.359199999999987"/>
    <x v="2"/>
    <x v="2"/>
    <x v="1"/>
  </r>
  <r>
    <x v="548"/>
    <x v="5"/>
    <x v="0"/>
    <n v="77.180000000000007"/>
    <n v="3"/>
    <n v="2.95"/>
    <n v="68.650000000000006"/>
    <n v="27.5"/>
    <n v="19"/>
    <n v="5"/>
    <n v="43.960000000000008"/>
    <n v="62.771999999999998"/>
    <n v="54.707599999999999"/>
    <x v="0"/>
    <x v="0"/>
    <x v="2"/>
  </r>
  <r>
    <x v="549"/>
    <x v="0"/>
    <x v="1"/>
    <n v="54.09"/>
    <n v="2"/>
    <n v="2.99"/>
    <n v="81.510000000000005"/>
    <n v="22.36"/>
    <n v="0"/>
    <n v="5"/>
    <n v="46.02"/>
    <n v="51.616"/>
    <n v="43.096800000000002"/>
    <x v="0"/>
    <x v="1"/>
    <x v="0"/>
  </r>
  <r>
    <x v="550"/>
    <x v="7"/>
    <x v="0"/>
    <n v="72.92"/>
    <n v="1"/>
    <n v="1.07"/>
    <n v="87.75"/>
    <n v="85.71"/>
    <n v="12"/>
    <n v="4"/>
    <n v="86.525999999999996"/>
    <n v="49.308"/>
    <n v="72.707999999999998"/>
    <x v="2"/>
    <x v="2"/>
    <x v="2"/>
  </r>
  <r>
    <x v="551"/>
    <x v="1"/>
    <x v="0"/>
    <n v="74.23"/>
    <n v="8"/>
    <n v="4.4000000000000004"/>
    <n v="77.319999999999993"/>
    <n v="81.709999999999994"/>
    <n v="17"/>
    <n v="2"/>
    <n v="79.953999999999994"/>
    <n v="62.492000000000004"/>
    <n v="75.22"/>
    <x v="2"/>
    <x v="2"/>
    <x v="1"/>
  </r>
  <r>
    <x v="552"/>
    <x v="2"/>
    <x v="2"/>
    <n v="58.29"/>
    <n v="0"/>
    <n v="7.3"/>
    <n v="67.16"/>
    <n v="44.83"/>
    <n v="8"/>
    <n v="2"/>
    <n v="53.762"/>
    <n v="45.916000000000004"/>
    <n v="50.031999999999996"/>
    <x v="0"/>
    <x v="0"/>
    <x v="1"/>
  </r>
  <r>
    <x v="553"/>
    <x v="1"/>
    <x v="0"/>
    <n v="97.28"/>
    <n v="6"/>
    <n v="9.4"/>
    <n v="3.17"/>
    <n v="48.92"/>
    <n v="8"/>
    <n v="2"/>
    <n v="30.62"/>
    <n v="77.712000000000003"/>
    <n v="45.685600000000001"/>
    <x v="0"/>
    <x v="0"/>
    <x v="1"/>
  </r>
  <r>
    <x v="554"/>
    <x v="7"/>
    <x v="2"/>
    <n v="92.5"/>
    <n v="4"/>
    <n v="6.04"/>
    <n v="53.5"/>
    <n v="21.77"/>
    <n v="8"/>
    <n v="4"/>
    <n v="34.462000000000003"/>
    <n v="73.08"/>
    <n v="46.601200000000006"/>
    <x v="0"/>
    <x v="0"/>
    <x v="2"/>
  </r>
  <r>
    <x v="555"/>
    <x v="4"/>
    <x v="1"/>
    <n v="83.45"/>
    <n v="7"/>
    <n v="8.6300000000000008"/>
    <n v="3.77"/>
    <n v="7.83"/>
    <n v="9"/>
    <n v="5"/>
    <n v="6.2059999999999995"/>
    <n v="84.64"/>
    <n v="33.615600000000001"/>
    <x v="0"/>
    <x v="0"/>
    <x v="0"/>
  </r>
  <r>
    <x v="556"/>
    <x v="4"/>
    <x v="0"/>
    <n v="73.11"/>
    <n v="3"/>
    <n v="8.2200000000000006"/>
    <n v="80.81"/>
    <n v="57.34"/>
    <n v="1"/>
    <n v="0"/>
    <n v="66.728000000000009"/>
    <n v="51.683999999999997"/>
    <n v="56.042000000000002"/>
    <x v="1"/>
    <x v="2"/>
    <x v="0"/>
  </r>
  <r>
    <x v="557"/>
    <x v="6"/>
    <x v="1"/>
    <n v="70.59"/>
    <n v="6"/>
    <n v="1.73"/>
    <n v="32.07"/>
    <n v="9.83"/>
    <n v="5"/>
    <n v="2"/>
    <n v="18.725999999999999"/>
    <n v="51.696000000000005"/>
    <n v="29.244399999999999"/>
    <x v="0"/>
    <x v="0"/>
    <x v="1"/>
  </r>
  <r>
    <x v="558"/>
    <x v="4"/>
    <x v="0"/>
    <n v="82.55"/>
    <n v="4"/>
    <n v="4.8600000000000003"/>
    <n v="56.24"/>
    <n v="44.93"/>
    <n v="14"/>
    <n v="3"/>
    <n v="49.454000000000001"/>
    <n v="62.74"/>
    <n v="55.494399999999999"/>
    <x v="1"/>
    <x v="0"/>
    <x v="0"/>
  </r>
  <r>
    <x v="559"/>
    <x v="6"/>
    <x v="0"/>
    <n v="77.27"/>
    <n v="4"/>
    <n v="1.17"/>
    <n v="27.94"/>
    <n v="94.05"/>
    <n v="2"/>
    <n v="4"/>
    <n v="67.605999999999995"/>
    <n v="57.248000000000005"/>
    <n v="58.738"/>
    <x v="1"/>
    <x v="2"/>
    <x v="1"/>
  </r>
  <r>
    <x v="560"/>
    <x v="1"/>
    <x v="0"/>
    <n v="53.11"/>
    <n v="8"/>
    <n v="6.82"/>
    <n v="78.25"/>
    <n v="95.28"/>
    <n v="10"/>
    <n v="1"/>
    <n v="88.468000000000004"/>
    <n v="54.884"/>
    <n v="74.546000000000006"/>
    <x v="2"/>
    <x v="0"/>
    <x v="1"/>
  </r>
  <r>
    <x v="561"/>
    <x v="3"/>
    <x v="2"/>
    <n v="75.63"/>
    <n v="8"/>
    <n v="9.5"/>
    <n v="88.65"/>
    <n v="23.93"/>
    <n v="5"/>
    <n v="0"/>
    <n v="49.817999999999998"/>
    <n v="65.251999999999995"/>
    <n v="51.966399999999993"/>
    <x v="0"/>
    <x v="0"/>
    <x v="2"/>
  </r>
  <r>
    <x v="562"/>
    <x v="0"/>
    <x v="0"/>
    <n v="90.32"/>
    <n v="8"/>
    <n v="1.37"/>
    <n v="39.86"/>
    <n v="62.41"/>
    <n v="2"/>
    <n v="3"/>
    <n v="53.39"/>
    <n v="66.867999999999995"/>
    <n v="53.094399999999993"/>
    <x v="0"/>
    <x v="0"/>
    <x v="0"/>
  </r>
  <r>
    <x v="563"/>
    <x v="0"/>
    <x v="1"/>
    <n v="72.959999999999994"/>
    <n v="5"/>
    <n v="7.34"/>
    <n v="86.29"/>
    <n v="47.41"/>
    <n v="10"/>
    <n v="2"/>
    <n v="62.962000000000003"/>
    <n v="61.863999999999997"/>
    <n v="61.336399999999998"/>
    <x v="1"/>
    <x v="2"/>
    <x v="0"/>
  </r>
  <r>
    <x v="564"/>
    <x v="1"/>
    <x v="1"/>
    <n v="52.6"/>
    <n v="5"/>
    <n v="6.32"/>
    <n v="26.71"/>
    <n v="87.57"/>
    <n v="14"/>
    <n v="1"/>
    <n v="63.225999999999999"/>
    <n v="47.680000000000007"/>
    <n v="59.239600000000003"/>
    <x v="1"/>
    <x v="0"/>
    <x v="1"/>
  </r>
  <r>
    <x v="565"/>
    <x v="5"/>
    <x v="0"/>
    <n v="89.31"/>
    <n v="4"/>
    <n v="5.84"/>
    <n v="53.47"/>
    <n v="27.14"/>
    <n v="12"/>
    <n v="0"/>
    <n v="37.671999999999997"/>
    <n v="55.404000000000003"/>
    <n v="45.224400000000003"/>
    <x v="0"/>
    <x v="0"/>
    <x v="2"/>
  </r>
  <r>
    <x v="566"/>
    <x v="5"/>
    <x v="1"/>
    <n v="60.07"/>
    <n v="8"/>
    <n v="3.9"/>
    <n v="85.88"/>
    <n v="0.37"/>
    <n v="19"/>
    <n v="4"/>
    <n v="34.573999999999998"/>
    <n v="63.828000000000003"/>
    <n v="49.392799999999994"/>
    <x v="0"/>
    <x v="0"/>
    <x v="2"/>
  </r>
  <r>
    <x v="567"/>
    <x v="4"/>
    <x v="1"/>
    <n v="62.93"/>
    <n v="9"/>
    <n v="3.55"/>
    <n v="32.590000000000003"/>
    <n v="16.260000000000002"/>
    <n v="9"/>
    <n v="1"/>
    <n v="22.792000000000002"/>
    <n v="54.271999999999998"/>
    <n v="34.456800000000001"/>
    <x v="0"/>
    <x v="0"/>
    <x v="0"/>
  </r>
  <r>
    <x v="568"/>
    <x v="0"/>
    <x v="1"/>
    <n v="58.24"/>
    <n v="7"/>
    <n v="0.45"/>
    <n v="95.4"/>
    <n v="34.950000000000003"/>
    <n v="5"/>
    <n v="5"/>
    <n v="59.13000000000001"/>
    <n v="58.196000000000005"/>
    <n v="55.436800000000005"/>
    <x v="1"/>
    <x v="0"/>
    <x v="0"/>
  </r>
  <r>
    <x v="569"/>
    <x v="0"/>
    <x v="1"/>
    <n v="66.510000000000005"/>
    <n v="6"/>
    <n v="2.1800000000000002"/>
    <n v="12.19"/>
    <n v="31.57"/>
    <n v="14"/>
    <n v="1"/>
    <n v="23.818000000000001"/>
    <n v="46.963999999999999"/>
    <n v="35.380000000000003"/>
    <x v="0"/>
    <x v="0"/>
    <x v="0"/>
  </r>
  <r>
    <x v="570"/>
    <x v="6"/>
    <x v="1"/>
    <n v="87.84"/>
    <n v="6"/>
    <n v="0.15"/>
    <n v="1.83"/>
    <n v="79.14"/>
    <n v="17"/>
    <n v="3"/>
    <n v="48.216000000000001"/>
    <n v="59.436"/>
    <n v="55.260400000000004"/>
    <x v="1"/>
    <x v="0"/>
    <x v="1"/>
  </r>
  <r>
    <x v="571"/>
    <x v="3"/>
    <x v="1"/>
    <n v="75.97"/>
    <n v="5"/>
    <n v="5.81"/>
    <n v="90.41"/>
    <n v="68.06"/>
    <n v="17"/>
    <n v="0"/>
    <n v="77"/>
    <n v="52.008000000000003"/>
    <n v="70.302399999999992"/>
    <x v="2"/>
    <x v="2"/>
    <x v="2"/>
  </r>
  <r>
    <x v="572"/>
    <x v="7"/>
    <x v="1"/>
    <n v="60.24"/>
    <n v="4"/>
    <n v="1.06"/>
    <n v="6.86"/>
    <n v="29.96"/>
    <n v="6"/>
    <n v="3"/>
    <n v="20.72"/>
    <n v="46.216000000000001"/>
    <n v="29.296799999999998"/>
    <x v="0"/>
    <x v="0"/>
    <x v="2"/>
  </r>
  <r>
    <x v="573"/>
    <x v="5"/>
    <x v="1"/>
    <n v="93.89"/>
    <n v="3"/>
    <n v="8.73"/>
    <n v="99.19"/>
    <n v="45.77"/>
    <n v="14"/>
    <n v="3"/>
    <n v="67.138000000000005"/>
    <n v="73.016000000000005"/>
    <n v="69.187600000000003"/>
    <x v="1"/>
    <x v="2"/>
    <x v="2"/>
  </r>
  <r>
    <x v="574"/>
    <x v="0"/>
    <x v="2"/>
    <n v="93.98"/>
    <n v="2"/>
    <n v="5.23"/>
    <n v="95.14"/>
    <n v="9.56"/>
    <n v="17"/>
    <n v="2"/>
    <n v="43.792000000000002"/>
    <n v="60.052000000000007"/>
    <n v="52.790800000000004"/>
    <x v="0"/>
    <x v="0"/>
    <x v="0"/>
  </r>
  <r>
    <x v="575"/>
    <x v="6"/>
    <x v="1"/>
    <n v="93.53"/>
    <n v="2"/>
    <n v="7"/>
    <n v="13.7"/>
    <n v="89.81"/>
    <n v="17"/>
    <n v="4"/>
    <n v="59.366"/>
    <n v="71.412000000000006"/>
    <n v="65.543199999999999"/>
    <x v="1"/>
    <x v="0"/>
    <x v="1"/>
  </r>
  <r>
    <x v="576"/>
    <x v="2"/>
    <x v="1"/>
    <n v="61.94"/>
    <n v="5"/>
    <n v="4.1100000000000003"/>
    <n v="53.76"/>
    <n v="93.54"/>
    <n v="19"/>
    <n v="1"/>
    <n v="77.628"/>
    <n v="46.995999999999995"/>
    <n v="70.175600000000003"/>
    <x v="2"/>
    <x v="0"/>
    <x v="1"/>
  </r>
  <r>
    <x v="577"/>
    <x v="6"/>
    <x v="0"/>
    <n v="72.56"/>
    <n v="3"/>
    <n v="5.61"/>
    <n v="18.489999999999998"/>
    <n v="97.98"/>
    <n v="8"/>
    <n v="0"/>
    <n v="66.183999999999997"/>
    <n v="46.244"/>
    <n v="57.583599999999997"/>
    <x v="1"/>
    <x v="2"/>
    <x v="1"/>
  </r>
  <r>
    <x v="578"/>
    <x v="5"/>
    <x v="1"/>
    <n v="99.25"/>
    <n v="5"/>
    <n v="9.43"/>
    <n v="42.82"/>
    <n v="86.86"/>
    <n v="1"/>
    <n v="5"/>
    <n v="69.244"/>
    <n v="88.56"/>
    <n v="68.614400000000003"/>
    <x v="1"/>
    <x v="2"/>
    <x v="2"/>
  </r>
  <r>
    <x v="579"/>
    <x v="5"/>
    <x v="2"/>
    <n v="88.6"/>
    <n v="2"/>
    <n v="0.83"/>
    <n v="6.14"/>
    <n v="17.399999999999999"/>
    <n v="7"/>
    <n v="4"/>
    <n v="12.895999999999999"/>
    <n v="57.099999999999994"/>
    <n v="28.367599999999996"/>
    <x v="0"/>
    <x v="0"/>
    <x v="2"/>
  </r>
  <r>
    <x v="580"/>
    <x v="6"/>
    <x v="0"/>
    <n v="51.36"/>
    <n v="3"/>
    <n v="2.54"/>
    <n v="22.39"/>
    <n v="4.62"/>
    <n v="19"/>
    <n v="4"/>
    <n v="11.728000000000002"/>
    <n v="47.624000000000002"/>
    <n v="30.824000000000002"/>
    <x v="0"/>
    <x v="1"/>
    <x v="1"/>
  </r>
  <r>
    <x v="581"/>
    <x v="7"/>
    <x v="1"/>
    <n v="53.26"/>
    <n v="8"/>
    <n v="7.8"/>
    <n v="36.33"/>
    <n v="57.96"/>
    <n v="1"/>
    <n v="0"/>
    <n v="49.307999999999993"/>
    <n v="52.904000000000003"/>
    <n v="45.955999999999996"/>
    <x v="0"/>
    <x v="1"/>
    <x v="2"/>
  </r>
  <r>
    <x v="582"/>
    <x v="1"/>
    <x v="1"/>
    <n v="73.2"/>
    <n v="4"/>
    <n v="0.99"/>
    <n v="43.86"/>
    <n v="91.26"/>
    <n v="10"/>
    <n v="4"/>
    <n v="72.3"/>
    <n v="55.26"/>
    <n v="64.957999999999998"/>
    <x v="1"/>
    <x v="2"/>
    <x v="1"/>
  </r>
  <r>
    <x v="583"/>
    <x v="5"/>
    <x v="0"/>
    <n v="95.46"/>
    <n v="6"/>
    <n v="0.76"/>
    <n v="97.75"/>
    <n v="17.739999999999998"/>
    <n v="6"/>
    <n v="2"/>
    <n v="49.744"/>
    <n v="59.704000000000001"/>
    <n v="50.757599999999996"/>
    <x v="0"/>
    <x v="0"/>
    <x v="2"/>
  </r>
  <r>
    <x v="584"/>
    <x v="6"/>
    <x v="2"/>
    <n v="76.94"/>
    <n v="9"/>
    <n v="3.62"/>
    <n v="80.790000000000006"/>
    <n v="0.7"/>
    <n v="5"/>
    <n v="4"/>
    <n v="32.736000000000004"/>
    <n v="72.015999999999991"/>
    <n v="43.746399999999994"/>
    <x v="0"/>
    <x v="0"/>
    <x v="1"/>
  </r>
  <r>
    <x v="585"/>
    <x v="0"/>
    <x v="0"/>
    <n v="74.89"/>
    <n v="1"/>
    <n v="0.92"/>
    <n v="73.739999999999995"/>
    <n v="80.55"/>
    <n v="9"/>
    <n v="2"/>
    <n v="77.825999999999993"/>
    <n v="41.796000000000006"/>
    <n v="63.734399999999994"/>
    <x v="1"/>
    <x v="2"/>
    <x v="0"/>
  </r>
  <r>
    <x v="586"/>
    <x v="6"/>
    <x v="0"/>
    <n v="55.27"/>
    <n v="4"/>
    <n v="5.85"/>
    <n v="53.7"/>
    <n v="7.68"/>
    <n v="4"/>
    <n v="1"/>
    <n v="26.088000000000005"/>
    <n v="45.808000000000007"/>
    <n v="31.395200000000003"/>
    <x v="0"/>
    <x v="1"/>
    <x v="1"/>
  </r>
  <r>
    <x v="587"/>
    <x v="3"/>
    <x v="1"/>
    <n v="82.84"/>
    <n v="8"/>
    <n v="2.2599999999999998"/>
    <n v="84"/>
    <n v="41.37"/>
    <n v="10"/>
    <n v="1"/>
    <n v="58.421999999999997"/>
    <n v="57.656000000000006"/>
    <n v="57.349999999999994"/>
    <x v="1"/>
    <x v="0"/>
    <x v="2"/>
  </r>
  <r>
    <x v="588"/>
    <x v="1"/>
    <x v="2"/>
    <n v="91.11"/>
    <n v="10"/>
    <n v="8.9600000000000009"/>
    <n v="33.93"/>
    <n v="67.89"/>
    <n v="0"/>
    <n v="3"/>
    <n v="54.306000000000004"/>
    <n v="86.364000000000004"/>
    <n v="58.492800000000003"/>
    <x v="1"/>
    <x v="0"/>
    <x v="1"/>
  </r>
  <r>
    <x v="589"/>
    <x v="2"/>
    <x v="1"/>
    <n v="69.02"/>
    <n v="2"/>
    <n v="7.84"/>
    <n v="70.89"/>
    <n v="23.68"/>
    <n v="1"/>
    <n v="2"/>
    <n v="42.564"/>
    <n v="55.287999999999997"/>
    <n v="42.624799999999993"/>
    <x v="0"/>
    <x v="0"/>
    <x v="1"/>
  </r>
  <r>
    <x v="590"/>
    <x v="7"/>
    <x v="2"/>
    <n v="88.78"/>
    <n v="8"/>
    <n v="7"/>
    <n v="99.38"/>
    <n v="8.4"/>
    <n v="0"/>
    <n v="5"/>
    <n v="44.792000000000002"/>
    <n v="85.512"/>
    <n v="52.528800000000004"/>
    <x v="0"/>
    <x v="0"/>
    <x v="2"/>
  </r>
  <r>
    <x v="591"/>
    <x v="4"/>
    <x v="0"/>
    <n v="98.22"/>
    <n v="10"/>
    <n v="6.17"/>
    <n v="31.46"/>
    <n v="77"/>
    <n v="18"/>
    <n v="1"/>
    <n v="58.783999999999999"/>
    <n v="75.628"/>
    <n v="66.958799999999997"/>
    <x v="1"/>
    <x v="0"/>
    <x v="0"/>
  </r>
  <r>
    <x v="592"/>
    <x v="2"/>
    <x v="0"/>
    <n v="60.19"/>
    <n v="5"/>
    <n v="8.6300000000000008"/>
    <n v="67.400000000000006"/>
    <n v="63.02"/>
    <n v="1"/>
    <n v="4"/>
    <n v="64.772000000000006"/>
    <n v="67.335999999999999"/>
    <n v="59.563999999999993"/>
    <x v="1"/>
    <x v="0"/>
    <x v="1"/>
  </r>
  <r>
    <x v="593"/>
    <x v="1"/>
    <x v="0"/>
    <n v="76.17"/>
    <n v="3"/>
    <n v="2.23"/>
    <n v="84.43"/>
    <n v="98.85"/>
    <n v="19"/>
    <n v="0"/>
    <n v="93.081999999999994"/>
    <n v="40.928000000000004"/>
    <n v="77.627600000000001"/>
    <x v="2"/>
    <x v="2"/>
    <x v="1"/>
  </r>
  <r>
    <x v="594"/>
    <x v="1"/>
    <x v="1"/>
    <n v="64.36"/>
    <n v="6"/>
    <n v="8.73"/>
    <n v="91.58"/>
    <n v="34.43"/>
    <n v="3"/>
    <n v="0"/>
    <n v="57.289999999999992"/>
    <n v="55.204000000000001"/>
    <n v="52.435199999999995"/>
    <x v="0"/>
    <x v="0"/>
    <x v="1"/>
  </r>
  <r>
    <x v="595"/>
    <x v="1"/>
    <x v="1"/>
    <n v="89.64"/>
    <n v="7"/>
    <n v="7.89"/>
    <n v="71.790000000000006"/>
    <n v="6.18"/>
    <n v="11"/>
    <n v="2"/>
    <n v="32.424000000000007"/>
    <n v="73.635999999999996"/>
    <n v="47.045200000000001"/>
    <x v="0"/>
    <x v="0"/>
    <x v="1"/>
  </r>
  <r>
    <x v="596"/>
    <x v="2"/>
    <x v="1"/>
    <n v="78.88"/>
    <n v="5"/>
    <n v="7.48"/>
    <n v="28.36"/>
    <n v="73.44"/>
    <n v="19"/>
    <n v="5"/>
    <n v="55.408000000000001"/>
    <n v="76.512"/>
    <n v="65.698399999999992"/>
    <x v="1"/>
    <x v="0"/>
    <x v="1"/>
  </r>
  <r>
    <x v="597"/>
    <x v="0"/>
    <x v="1"/>
    <n v="81.73"/>
    <n v="4"/>
    <n v="5.61"/>
    <n v="32.630000000000003"/>
    <n v="52.17"/>
    <n v="17"/>
    <n v="3"/>
    <n v="44.353999999999999"/>
    <n v="63.911999999999999"/>
    <n v="54.286000000000001"/>
    <x v="0"/>
    <x v="0"/>
    <x v="0"/>
  </r>
  <r>
    <x v="598"/>
    <x v="1"/>
    <x v="0"/>
    <n v="89.9"/>
    <n v="5"/>
    <n v="2.46"/>
    <n v="2.08"/>
    <n v="21.32"/>
    <n v="0"/>
    <n v="4"/>
    <n v="13.624000000000001"/>
    <n v="66.88"/>
    <n v="28.238399999999999"/>
    <x v="0"/>
    <x v="0"/>
    <x v="1"/>
  </r>
  <r>
    <x v="599"/>
    <x v="6"/>
    <x v="1"/>
    <n v="69.8"/>
    <n v="4"/>
    <n v="4.24"/>
    <n v="76.09"/>
    <n v="78.17"/>
    <n v="0"/>
    <n v="2"/>
    <n v="77.338000000000008"/>
    <n v="52.400000000000006"/>
    <n v="62.122800000000005"/>
    <x v="1"/>
    <x v="0"/>
    <x v="1"/>
  </r>
  <r>
    <x v="600"/>
    <x v="2"/>
    <x v="1"/>
    <n v="95.75"/>
    <n v="7"/>
    <n v="7.94"/>
    <n v="4.2699999999999996"/>
    <n v="20.38"/>
    <n v="13"/>
    <n v="0"/>
    <n v="13.936"/>
    <n v="68.180000000000007"/>
    <n v="35.315600000000003"/>
    <x v="0"/>
    <x v="0"/>
    <x v="1"/>
  </r>
  <r>
    <x v="601"/>
    <x v="4"/>
    <x v="2"/>
    <n v="76.650000000000006"/>
    <n v="0"/>
    <n v="0.32"/>
    <n v="86.47"/>
    <n v="26.07"/>
    <n v="3"/>
    <n v="2"/>
    <n v="50.230000000000004"/>
    <n v="39.300000000000004"/>
    <n v="43.428000000000004"/>
    <x v="0"/>
    <x v="0"/>
    <x v="0"/>
  </r>
  <r>
    <x v="602"/>
    <x v="1"/>
    <x v="0"/>
    <n v="57.9"/>
    <n v="10"/>
    <n v="7.82"/>
    <n v="11.87"/>
    <n v="9.25"/>
    <n v="4"/>
    <n v="4"/>
    <n v="10.298"/>
    <n v="74.8"/>
    <n v="30.618799999999997"/>
    <x v="0"/>
    <x v="1"/>
    <x v="1"/>
  </r>
  <r>
    <x v="603"/>
    <x v="6"/>
    <x v="2"/>
    <n v="84.79"/>
    <n v="6"/>
    <n v="2.4"/>
    <n v="17.190000000000001"/>
    <n v="39.94"/>
    <n v="10"/>
    <n v="5"/>
    <n v="30.84"/>
    <n v="70.716000000000008"/>
    <n v="44.718800000000002"/>
    <x v="0"/>
    <x v="0"/>
    <x v="1"/>
  </r>
  <r>
    <x v="604"/>
    <x v="0"/>
    <x v="2"/>
    <n v="89.66"/>
    <n v="9"/>
    <n v="1.44"/>
    <n v="47.65"/>
    <n v="41.89"/>
    <n v="12"/>
    <n v="5"/>
    <n v="44.194000000000003"/>
    <n v="76.744"/>
    <n v="55.5396"/>
    <x v="1"/>
    <x v="0"/>
    <x v="0"/>
  </r>
  <r>
    <x v="605"/>
    <x v="3"/>
    <x v="1"/>
    <n v="65.84"/>
    <n v="9"/>
    <n v="1.1599999999999999"/>
    <n v="73.790000000000006"/>
    <n v="51.46"/>
    <n v="15"/>
    <n v="1"/>
    <n v="60.392000000000003"/>
    <n v="50.655999999999999"/>
    <n v="58.932000000000002"/>
    <x v="1"/>
    <x v="0"/>
    <x v="2"/>
  </r>
  <r>
    <x v="606"/>
    <x v="0"/>
    <x v="1"/>
    <n v="92.86"/>
    <n v="10"/>
    <n v="0.27"/>
    <n v="13.9"/>
    <n v="70.900000000000006"/>
    <n v="12"/>
    <n v="4"/>
    <n v="48.1"/>
    <n v="73.683999999999997"/>
    <n v="56.965199999999996"/>
    <x v="1"/>
    <x v="0"/>
    <x v="0"/>
  </r>
  <r>
    <x v="607"/>
    <x v="4"/>
    <x v="0"/>
    <n v="95.31"/>
    <n v="1"/>
    <n v="5.24"/>
    <n v="44.01"/>
    <n v="90.61"/>
    <n v="1"/>
    <n v="1"/>
    <n v="71.97"/>
    <n v="54.603999999999999"/>
    <n v="60.063199999999995"/>
    <x v="1"/>
    <x v="2"/>
    <x v="0"/>
  </r>
  <r>
    <x v="608"/>
    <x v="1"/>
    <x v="0"/>
    <n v="63.85"/>
    <n v="8"/>
    <n v="2.1800000000000002"/>
    <n v="48.29"/>
    <n v="13.77"/>
    <n v="15"/>
    <n v="1"/>
    <n v="27.578000000000003"/>
    <n v="49.900000000000006"/>
    <n v="39.016800000000003"/>
    <x v="0"/>
    <x v="0"/>
    <x v="1"/>
  </r>
  <r>
    <x v="609"/>
    <x v="4"/>
    <x v="1"/>
    <n v="99.18"/>
    <n v="0"/>
    <n v="9.89"/>
    <n v="21.23"/>
    <n v="5.43"/>
    <n v="5"/>
    <n v="1"/>
    <n v="11.75"/>
    <n v="63.452000000000005"/>
    <n v="28.585600000000003"/>
    <x v="0"/>
    <x v="0"/>
    <x v="0"/>
  </r>
  <r>
    <x v="610"/>
    <x v="2"/>
    <x v="0"/>
    <n v="57.04"/>
    <n v="10"/>
    <n v="5.74"/>
    <n v="11.56"/>
    <n v="1.85"/>
    <n v="13"/>
    <n v="2"/>
    <n v="5.7340000000000009"/>
    <n v="62.296000000000006"/>
    <n v="28.629200000000001"/>
    <x v="0"/>
    <x v="1"/>
    <x v="1"/>
  </r>
  <r>
    <x v="611"/>
    <x v="5"/>
    <x v="1"/>
    <n v="60.1"/>
    <n v="9"/>
    <n v="1.38"/>
    <n v="83.64"/>
    <n v="14.36"/>
    <n v="0"/>
    <n v="0"/>
    <n v="42.072000000000003"/>
    <n v="44.800000000000004"/>
    <n v="38.683199999999999"/>
    <x v="0"/>
    <x v="0"/>
    <x v="2"/>
  </r>
  <r>
    <x v="612"/>
    <x v="1"/>
    <x v="1"/>
    <n v="59.21"/>
    <n v="5"/>
    <n v="6.89"/>
    <n v="50.25"/>
    <n v="65.790000000000006"/>
    <n v="16"/>
    <n v="5"/>
    <n v="59.574000000000005"/>
    <n v="67.463999999999999"/>
    <n v="63.983599999999996"/>
    <x v="1"/>
    <x v="0"/>
    <x v="1"/>
  </r>
  <r>
    <x v="613"/>
    <x v="5"/>
    <x v="0"/>
    <n v="94.7"/>
    <n v="8"/>
    <n v="8.98"/>
    <n v="1.44"/>
    <n v="72.75"/>
    <n v="10"/>
    <n v="2"/>
    <n v="44.225999999999999"/>
    <n v="79.84"/>
    <n v="55.4876"/>
    <x v="1"/>
    <x v="0"/>
    <x v="2"/>
  </r>
  <r>
    <x v="614"/>
    <x v="6"/>
    <x v="0"/>
    <n v="82.71"/>
    <n v="0"/>
    <n v="7.45"/>
    <n v="80.3"/>
    <n v="78.650000000000006"/>
    <n v="18"/>
    <n v="0"/>
    <n v="79.31"/>
    <n v="47.983999999999995"/>
    <n v="70.981200000000001"/>
    <x v="2"/>
    <x v="2"/>
    <x v="1"/>
  </r>
  <r>
    <x v="615"/>
    <x v="3"/>
    <x v="0"/>
    <n v="57.61"/>
    <n v="3"/>
    <n v="0.76"/>
    <n v="98.08"/>
    <n v="24.37"/>
    <n v="2"/>
    <n v="5"/>
    <n v="53.853999999999999"/>
    <n v="50.564"/>
    <n v="48.4816"/>
    <x v="0"/>
    <x v="0"/>
    <x v="2"/>
  </r>
  <r>
    <x v="616"/>
    <x v="7"/>
    <x v="1"/>
    <n v="72.02"/>
    <n v="3"/>
    <n v="8.9600000000000009"/>
    <n v="60.59"/>
    <n v="30.59"/>
    <n v="10"/>
    <n v="4"/>
    <n v="42.59"/>
    <n v="68.728000000000009"/>
    <n v="51.172400000000003"/>
    <x v="0"/>
    <x v="0"/>
    <x v="2"/>
  </r>
  <r>
    <x v="617"/>
    <x v="4"/>
    <x v="0"/>
    <n v="80.760000000000005"/>
    <n v="8"/>
    <n v="7.94"/>
    <n v="50.37"/>
    <n v="48.31"/>
    <n v="4"/>
    <n v="5"/>
    <n v="49.134"/>
    <n v="84.183999999999997"/>
    <n v="56.735599999999998"/>
    <x v="1"/>
    <x v="0"/>
    <x v="0"/>
  </r>
  <r>
    <x v="618"/>
    <x v="0"/>
    <x v="1"/>
    <n v="54.17"/>
    <n v="10"/>
    <n v="1.58"/>
    <n v="87.84"/>
    <n v="6.32"/>
    <n v="16"/>
    <n v="5"/>
    <n v="38.928000000000004"/>
    <n v="64.828000000000003"/>
    <n v="50.805199999999999"/>
    <x v="0"/>
    <x v="1"/>
    <x v="0"/>
  </r>
  <r>
    <x v="619"/>
    <x v="3"/>
    <x v="1"/>
    <n v="94.12"/>
    <n v="4"/>
    <n v="0.52"/>
    <n v="95.25"/>
    <n v="61.11"/>
    <n v="6"/>
    <n v="5"/>
    <n v="74.765999999999991"/>
    <n v="66.688000000000002"/>
    <n v="67.865999999999985"/>
    <x v="1"/>
    <x v="2"/>
    <x v="2"/>
  </r>
  <r>
    <x v="620"/>
    <x v="1"/>
    <x v="0"/>
    <n v="90.18"/>
    <n v="4"/>
    <n v="5.57"/>
    <n v="75.45"/>
    <n v="98.37"/>
    <n v="9"/>
    <n v="3"/>
    <n v="89.201999999999998"/>
    <n v="67.212000000000003"/>
    <n v="78.184799999999996"/>
    <x v="2"/>
    <x v="2"/>
    <x v="1"/>
  </r>
  <r>
    <x v="621"/>
    <x v="5"/>
    <x v="2"/>
    <n v="75.260000000000005"/>
    <n v="5"/>
    <n v="1.56"/>
    <n v="44.55"/>
    <n v="36.08"/>
    <n v="10"/>
    <n v="4"/>
    <n v="39.468000000000004"/>
    <n v="59.223999999999997"/>
    <n v="46.448"/>
    <x v="0"/>
    <x v="0"/>
    <x v="2"/>
  </r>
  <r>
    <x v="622"/>
    <x v="0"/>
    <x v="0"/>
    <n v="98.36"/>
    <n v="0"/>
    <n v="8.35"/>
    <n v="59.22"/>
    <n v="75.28"/>
    <n v="2"/>
    <n v="2"/>
    <n v="68.855999999999995"/>
    <n v="64.043999999999997"/>
    <n v="61.526799999999994"/>
    <x v="1"/>
    <x v="2"/>
    <x v="0"/>
  </r>
  <r>
    <x v="623"/>
    <x v="5"/>
    <x v="0"/>
    <n v="70.89"/>
    <n v="0"/>
    <n v="3.58"/>
    <n v="70.09"/>
    <n v="50"/>
    <n v="19"/>
    <n v="2"/>
    <n v="58.036000000000001"/>
    <n v="43.516000000000005"/>
    <n v="57.376399999999997"/>
    <x v="1"/>
    <x v="0"/>
    <x v="2"/>
  </r>
  <r>
    <x v="624"/>
    <x v="2"/>
    <x v="0"/>
    <n v="99.21"/>
    <n v="8"/>
    <n v="9.1300000000000008"/>
    <n v="19.43"/>
    <n v="12.78"/>
    <n v="9"/>
    <n v="0"/>
    <n v="15.44"/>
    <n v="73.944000000000003"/>
    <n v="35.947199999999995"/>
    <x v="0"/>
    <x v="0"/>
    <x v="1"/>
  </r>
  <r>
    <x v="625"/>
    <x v="5"/>
    <x v="0"/>
    <n v="83.4"/>
    <n v="2"/>
    <n v="5.66"/>
    <n v="44.72"/>
    <n v="58.22"/>
    <n v="9"/>
    <n v="2"/>
    <n v="52.819999999999993"/>
    <n v="56.680000000000007"/>
    <n v="53.195999999999998"/>
    <x v="0"/>
    <x v="0"/>
    <x v="2"/>
  </r>
  <r>
    <x v="626"/>
    <x v="2"/>
    <x v="1"/>
    <n v="81.73"/>
    <n v="3"/>
    <n v="1.83"/>
    <n v="82.98"/>
    <n v="29.99"/>
    <n v="13"/>
    <n v="1"/>
    <n v="51.186"/>
    <n v="46.352000000000004"/>
    <n v="51.117199999999997"/>
    <x v="0"/>
    <x v="0"/>
    <x v="1"/>
  </r>
  <r>
    <x v="627"/>
    <x v="6"/>
    <x v="1"/>
    <n v="58.3"/>
    <n v="0"/>
    <n v="1.4"/>
    <n v="65.47"/>
    <n v="3.44"/>
    <n v="11"/>
    <n v="5"/>
    <n v="28.252000000000002"/>
    <n v="46.120000000000005"/>
    <n v="36.287199999999999"/>
    <x v="0"/>
    <x v="1"/>
    <x v="1"/>
  </r>
  <r>
    <x v="628"/>
    <x v="0"/>
    <x v="1"/>
    <n v="94.1"/>
    <n v="8"/>
    <n v="5.76"/>
    <n v="41.12"/>
    <n v="63.49"/>
    <n v="14"/>
    <n v="2"/>
    <n v="54.542000000000002"/>
    <n v="73.16"/>
    <n v="61.673199999999994"/>
    <x v="1"/>
    <x v="0"/>
    <x v="0"/>
  </r>
  <r>
    <x v="629"/>
    <x v="0"/>
    <x v="1"/>
    <n v="71.37"/>
    <n v="7"/>
    <n v="7.62"/>
    <n v="66.34"/>
    <n v="85.89"/>
    <n v="9"/>
    <n v="0"/>
    <n v="78.069999999999993"/>
    <n v="57.788000000000004"/>
    <n v="68.678399999999996"/>
    <x v="1"/>
    <x v="2"/>
    <x v="0"/>
  </r>
  <r>
    <x v="630"/>
    <x v="7"/>
    <x v="0"/>
    <n v="58.11"/>
    <n v="1"/>
    <n v="7.82"/>
    <n v="11.82"/>
    <n v="34.479999999999997"/>
    <n v="9"/>
    <n v="0"/>
    <n v="25.416"/>
    <n v="40.884"/>
    <n v="32.014800000000001"/>
    <x v="0"/>
    <x v="1"/>
    <x v="2"/>
  </r>
  <r>
    <x v="631"/>
    <x v="1"/>
    <x v="0"/>
    <n v="50.63"/>
    <n v="7"/>
    <n v="2.76"/>
    <n v="40.15"/>
    <n v="39.03"/>
    <n v="18"/>
    <n v="1"/>
    <n v="39.477999999999994"/>
    <n v="43.772000000000006"/>
    <n v="45.818399999999997"/>
    <x v="0"/>
    <x v="1"/>
    <x v="1"/>
  </r>
  <r>
    <x v="632"/>
    <x v="2"/>
    <x v="1"/>
    <n v="77.989999999999995"/>
    <n v="6"/>
    <n v="2.04"/>
    <n v="79.31"/>
    <n v="89.1"/>
    <n v="0"/>
    <n v="0"/>
    <n v="85.183999999999997"/>
    <n v="47.275999999999996"/>
    <n v="65.293199999999999"/>
    <x v="1"/>
    <x v="2"/>
    <x v="1"/>
  </r>
  <r>
    <x v="633"/>
    <x v="7"/>
    <x v="1"/>
    <n v="76.37"/>
    <n v="10"/>
    <n v="0.17"/>
    <n v="22.05"/>
    <n v="81.36"/>
    <n v="9"/>
    <n v="3"/>
    <n v="57.635999999999996"/>
    <n v="62.888000000000005"/>
    <n v="57.947999999999993"/>
    <x v="1"/>
    <x v="0"/>
    <x v="2"/>
  </r>
  <r>
    <x v="634"/>
    <x v="5"/>
    <x v="0"/>
    <n v="85.97"/>
    <n v="5"/>
    <n v="6.79"/>
    <n v="18.600000000000001"/>
    <n v="71.5"/>
    <n v="1"/>
    <n v="5"/>
    <n v="50.34"/>
    <n v="77.967999999999989"/>
    <n v="54.094399999999993"/>
    <x v="0"/>
    <x v="0"/>
    <x v="2"/>
  </r>
  <r>
    <x v="635"/>
    <x v="5"/>
    <x v="1"/>
    <n v="94.51"/>
    <n v="0"/>
    <n v="0.77"/>
    <n v="95.08"/>
    <n v="24.88"/>
    <n v="16"/>
    <n v="5"/>
    <n v="52.96"/>
    <n v="59.344000000000001"/>
    <n v="57.5792"/>
    <x v="1"/>
    <x v="0"/>
    <x v="2"/>
  </r>
  <r>
    <x v="636"/>
    <x v="7"/>
    <x v="0"/>
    <n v="53.97"/>
    <n v="6"/>
    <n v="4.21"/>
    <n v="20.99"/>
    <n v="91.02"/>
    <n v="6"/>
    <n v="5"/>
    <n v="63.007999999999996"/>
    <n v="62.008000000000003"/>
    <n v="59.407199999999989"/>
    <x v="1"/>
    <x v="0"/>
    <x v="2"/>
  </r>
  <r>
    <x v="637"/>
    <x v="0"/>
    <x v="0"/>
    <n v="86.57"/>
    <n v="9"/>
    <n v="6.02"/>
    <n v="26.09"/>
    <n v="15.44"/>
    <n v="6"/>
    <n v="4"/>
    <n v="19.7"/>
    <n v="80.668000000000006"/>
    <n v="39.020400000000002"/>
    <x v="0"/>
    <x v="0"/>
    <x v="0"/>
  </r>
  <r>
    <x v="638"/>
    <x v="5"/>
    <x v="0"/>
    <n v="59.37"/>
    <n v="6"/>
    <n v="9.3699999999999992"/>
    <n v="96.96"/>
    <n v="62.68"/>
    <n v="19"/>
    <n v="2"/>
    <n v="76.391999999999996"/>
    <n v="62.488"/>
    <n v="74.081599999999995"/>
    <x v="2"/>
    <x v="0"/>
    <x v="2"/>
  </r>
  <r>
    <x v="639"/>
    <x v="4"/>
    <x v="0"/>
    <n v="92.91"/>
    <n v="8"/>
    <n v="3.12"/>
    <n v="73.47"/>
    <n v="2.88"/>
    <n v="8"/>
    <n v="3"/>
    <n v="31.116000000000003"/>
    <n v="71.403999999999996"/>
    <n v="44.090800000000002"/>
    <x v="0"/>
    <x v="0"/>
    <x v="0"/>
  </r>
  <r>
    <x v="640"/>
    <x v="6"/>
    <x v="0"/>
    <n v="90.95"/>
    <n v="0"/>
    <n v="2.5"/>
    <n v="69.959999999999994"/>
    <n v="64.37"/>
    <n v="1"/>
    <n v="2"/>
    <n v="66.605999999999995"/>
    <n v="49.38"/>
    <n v="55.277599999999993"/>
    <x v="1"/>
    <x v="2"/>
    <x v="1"/>
  </r>
  <r>
    <x v="641"/>
    <x v="6"/>
    <x v="1"/>
    <n v="77.040000000000006"/>
    <n v="1"/>
    <n v="6.54"/>
    <n v="85.29"/>
    <n v="27.71"/>
    <n v="13"/>
    <n v="3"/>
    <n v="50.742000000000004"/>
    <n v="57.896000000000001"/>
    <n v="54.314"/>
    <x v="0"/>
    <x v="0"/>
    <x v="1"/>
  </r>
  <r>
    <x v="642"/>
    <x v="4"/>
    <x v="0"/>
    <n v="85.51"/>
    <n v="10"/>
    <n v="6.19"/>
    <n v="11.58"/>
    <n v="44.97"/>
    <n v="16"/>
    <n v="2"/>
    <n v="31.614000000000001"/>
    <n v="74.584000000000003"/>
    <n v="49.343599999999995"/>
    <x v="0"/>
    <x v="0"/>
    <x v="0"/>
  </r>
  <r>
    <x v="643"/>
    <x v="7"/>
    <x v="0"/>
    <n v="65.72"/>
    <n v="8"/>
    <n v="3.32"/>
    <n v="70.599999999999994"/>
    <n v="34.53"/>
    <n v="0"/>
    <n v="1"/>
    <n v="48.957999999999998"/>
    <n v="52.927999999999997"/>
    <n v="45.253199999999993"/>
    <x v="0"/>
    <x v="0"/>
    <x v="2"/>
  </r>
  <r>
    <x v="644"/>
    <x v="4"/>
    <x v="1"/>
    <n v="73.56"/>
    <n v="8"/>
    <n v="9.2799999999999994"/>
    <n v="50.37"/>
    <n v="17.28"/>
    <n v="8"/>
    <n v="0"/>
    <n v="30.515999999999998"/>
    <n v="63.984000000000009"/>
    <n v="41.504800000000003"/>
    <x v="0"/>
    <x v="0"/>
    <x v="0"/>
  </r>
  <r>
    <x v="645"/>
    <x v="2"/>
    <x v="0"/>
    <n v="91.08"/>
    <n v="5"/>
    <n v="8.4499999999999993"/>
    <n v="82.92"/>
    <n v="62.2"/>
    <n v="19"/>
    <n v="0"/>
    <n v="70.488"/>
    <n v="63.332000000000001"/>
    <n v="70.792400000000001"/>
    <x v="2"/>
    <x v="2"/>
    <x v="1"/>
  </r>
  <r>
    <x v="646"/>
    <x v="2"/>
    <x v="0"/>
    <n v="72.959999999999994"/>
    <n v="5"/>
    <n v="2.2400000000000002"/>
    <n v="50.81"/>
    <n v="88.2"/>
    <n v="18"/>
    <n v="1"/>
    <n v="73.244"/>
    <n v="47.664000000000001"/>
    <n v="67.245599999999996"/>
    <x v="1"/>
    <x v="2"/>
    <x v="1"/>
  </r>
  <r>
    <x v="647"/>
    <x v="7"/>
    <x v="0"/>
    <n v="67.89"/>
    <n v="3"/>
    <n v="2.39"/>
    <n v="62.02"/>
    <n v="95.91"/>
    <n v="3"/>
    <n v="3"/>
    <n v="82.353999999999999"/>
    <n v="49.936000000000007"/>
    <n v="65.893200000000007"/>
    <x v="1"/>
    <x v="0"/>
    <x v="2"/>
  </r>
  <r>
    <x v="648"/>
    <x v="4"/>
    <x v="0"/>
    <n v="74.709999999999994"/>
    <n v="3"/>
    <n v="5.12"/>
    <n v="47.77"/>
    <n v="19.23"/>
    <n v="7"/>
    <n v="4"/>
    <n v="30.646000000000001"/>
    <n v="62.124000000000002"/>
    <n v="40.524799999999999"/>
    <x v="0"/>
    <x v="0"/>
    <x v="0"/>
  </r>
  <r>
    <x v="649"/>
    <x v="2"/>
    <x v="0"/>
    <n v="91.41"/>
    <n v="4"/>
    <n v="7.74"/>
    <n v="47.82"/>
    <n v="71.739999999999995"/>
    <n v="12"/>
    <n v="3"/>
    <n v="62.171999999999997"/>
    <n v="72.043999999999997"/>
    <n v="64.916399999999996"/>
    <x v="1"/>
    <x v="2"/>
    <x v="1"/>
  </r>
  <r>
    <x v="650"/>
    <x v="0"/>
    <x v="0"/>
    <n v="66.760000000000005"/>
    <n v="2"/>
    <n v="0.44"/>
    <n v="76.8"/>
    <n v="66.430000000000007"/>
    <n v="3"/>
    <n v="0"/>
    <n v="70.578000000000003"/>
    <n v="31.584000000000003"/>
    <n v="53.322000000000003"/>
    <x v="0"/>
    <x v="0"/>
    <x v="0"/>
  </r>
  <r>
    <x v="651"/>
    <x v="4"/>
    <x v="0"/>
    <n v="58.69"/>
    <n v="0"/>
    <n v="6.93"/>
    <n v="62.86"/>
    <n v="34.340000000000003"/>
    <n v="8"/>
    <n v="4"/>
    <n v="45.748000000000005"/>
    <n v="53.335999999999999"/>
    <n v="47.449600000000004"/>
    <x v="0"/>
    <x v="1"/>
    <x v="0"/>
  </r>
  <r>
    <x v="652"/>
    <x v="0"/>
    <x v="0"/>
    <n v="85.6"/>
    <n v="0"/>
    <n v="6.48"/>
    <n v="63.33"/>
    <n v="1.91"/>
    <n v="8"/>
    <n v="2"/>
    <n v="26.478000000000002"/>
    <n v="55.2"/>
    <n v="36.446799999999996"/>
    <x v="0"/>
    <x v="0"/>
    <x v="0"/>
  </r>
  <r>
    <x v="653"/>
    <x v="2"/>
    <x v="0"/>
    <n v="91.3"/>
    <n v="6"/>
    <n v="2.31"/>
    <n v="45.03"/>
    <n v="68.98"/>
    <n v="17"/>
    <n v="4"/>
    <n v="59.4"/>
    <n v="69.14"/>
    <n v="64.882000000000005"/>
    <x v="1"/>
    <x v="0"/>
    <x v="1"/>
  </r>
  <r>
    <x v="654"/>
    <x v="6"/>
    <x v="0"/>
    <n v="55.03"/>
    <n v="0"/>
    <n v="6.81"/>
    <n v="53.11"/>
    <n v="94.55"/>
    <n v="11"/>
    <n v="3"/>
    <n v="77.97399999999999"/>
    <n v="47.631999999999998"/>
    <n v="66.573999999999998"/>
    <x v="1"/>
    <x v="0"/>
    <x v="1"/>
  </r>
  <r>
    <x v="655"/>
    <x v="2"/>
    <x v="0"/>
    <n v="61.99"/>
    <n v="0"/>
    <n v="9.4"/>
    <n v="74.569999999999993"/>
    <n v="63.21"/>
    <n v="9"/>
    <n v="1"/>
    <n v="67.754000000000005"/>
    <n v="47.596000000000004"/>
    <n v="59.431200000000004"/>
    <x v="1"/>
    <x v="0"/>
    <x v="1"/>
  </r>
  <r>
    <x v="656"/>
    <x v="0"/>
    <x v="1"/>
    <n v="57.1"/>
    <n v="2"/>
    <n v="0.47"/>
    <n v="82.59"/>
    <n v="43.53"/>
    <n v="10"/>
    <n v="2"/>
    <n v="59.153999999999996"/>
    <n v="35.78"/>
    <n v="51.226399999999998"/>
    <x v="0"/>
    <x v="0"/>
    <x v="0"/>
  </r>
  <r>
    <x v="657"/>
    <x v="3"/>
    <x v="0"/>
    <n v="67.400000000000006"/>
    <n v="9"/>
    <n v="3.2"/>
    <n v="69.66"/>
    <n v="52.52"/>
    <n v="6"/>
    <n v="3"/>
    <n v="59.376000000000005"/>
    <n v="63.360000000000007"/>
    <n v="57.633600000000001"/>
    <x v="1"/>
    <x v="0"/>
    <x v="2"/>
  </r>
  <r>
    <x v="658"/>
    <x v="1"/>
    <x v="0"/>
    <n v="72.52"/>
    <n v="3"/>
    <n v="4.38"/>
    <n v="92.41"/>
    <n v="19.96"/>
    <n v="8"/>
    <n v="2"/>
    <n v="48.94"/>
    <n v="51.767999999999994"/>
    <n v="48.89439999999999"/>
    <x v="0"/>
    <x v="0"/>
    <x v="1"/>
  </r>
  <r>
    <x v="659"/>
    <x v="5"/>
    <x v="1"/>
    <n v="87.44"/>
    <n v="3"/>
    <n v="8.99"/>
    <n v="82.03"/>
    <n v="75.05"/>
    <n v="5"/>
    <n v="4"/>
    <n v="77.841999999999999"/>
    <n v="74.956000000000003"/>
    <n v="71.691999999999993"/>
    <x v="2"/>
    <x v="2"/>
    <x v="2"/>
  </r>
  <r>
    <x v="660"/>
    <x v="4"/>
    <x v="0"/>
    <n v="82.56"/>
    <n v="1"/>
    <n v="9.6199999999999992"/>
    <n v="56.19"/>
    <n v="74.64"/>
    <n v="18"/>
    <n v="0"/>
    <n v="67.259999999999991"/>
    <n v="54.263999999999996"/>
    <n v="65.635199999999998"/>
    <x v="1"/>
    <x v="2"/>
    <x v="0"/>
  </r>
  <r>
    <x v="661"/>
    <x v="3"/>
    <x v="1"/>
    <n v="81.05"/>
    <n v="0"/>
    <n v="4.4400000000000004"/>
    <n v="67.14"/>
    <n v="14.55"/>
    <n v="15"/>
    <n v="3"/>
    <n v="35.585999999999999"/>
    <n v="53.300000000000004"/>
    <n v="44.8416"/>
    <x v="0"/>
    <x v="0"/>
    <x v="2"/>
  </r>
  <r>
    <x v="662"/>
    <x v="2"/>
    <x v="1"/>
    <n v="67.62"/>
    <n v="2"/>
    <n v="7.5"/>
    <n v="92.63"/>
    <n v="87.8"/>
    <n v="14"/>
    <n v="1"/>
    <n v="89.731999999999999"/>
    <n v="50.048000000000002"/>
    <n v="75.8536"/>
    <x v="2"/>
    <x v="0"/>
    <x v="1"/>
  </r>
  <r>
    <x v="663"/>
    <x v="6"/>
    <x v="0"/>
    <n v="92.07"/>
    <n v="10"/>
    <n v="5.32"/>
    <n v="61.92"/>
    <n v="26.92"/>
    <n v="6"/>
    <n v="4"/>
    <n v="40.92"/>
    <n v="83.467999999999989"/>
    <n v="52.592399999999998"/>
    <x v="0"/>
    <x v="0"/>
    <x v="1"/>
  </r>
  <r>
    <x v="664"/>
    <x v="7"/>
    <x v="1"/>
    <n v="73.56"/>
    <n v="3"/>
    <n v="5.38"/>
    <n v="82.48"/>
    <n v="98.23"/>
    <n v="15"/>
    <n v="3"/>
    <n v="91.93"/>
    <n v="58.184000000000005"/>
    <n v="80.113200000000006"/>
    <x v="2"/>
    <x v="2"/>
    <x v="2"/>
  </r>
  <r>
    <x v="665"/>
    <x v="2"/>
    <x v="0"/>
    <n v="98.96"/>
    <n v="2"/>
    <n v="2.78"/>
    <n v="68.88"/>
    <n v="38.29"/>
    <n v="4"/>
    <n v="1"/>
    <n v="50.525999999999996"/>
    <n v="53.144000000000005"/>
    <n v="48.258799999999994"/>
    <x v="0"/>
    <x v="0"/>
    <x v="1"/>
  </r>
  <r>
    <x v="666"/>
    <x v="6"/>
    <x v="0"/>
    <n v="81.709999999999994"/>
    <n v="7"/>
    <n v="2.17"/>
    <n v="55.19"/>
    <n v="17.79"/>
    <n v="15"/>
    <n v="3"/>
    <n v="32.75"/>
    <n v="63.024000000000001"/>
    <n v="46.057199999999995"/>
    <x v="0"/>
    <x v="0"/>
    <x v="1"/>
  </r>
  <r>
    <x v="667"/>
    <x v="1"/>
    <x v="0"/>
    <n v="56.31"/>
    <n v="9"/>
    <n v="2.88"/>
    <n v="24.18"/>
    <n v="35.17"/>
    <n v="0"/>
    <n v="4"/>
    <n v="30.774000000000001"/>
    <n v="62.283999999999999"/>
    <n v="37.1496"/>
    <x v="0"/>
    <x v="1"/>
    <x v="1"/>
  </r>
  <r>
    <x v="668"/>
    <x v="2"/>
    <x v="1"/>
    <n v="83.81"/>
    <n v="0"/>
    <n v="5.56"/>
    <n v="42.6"/>
    <n v="44.02"/>
    <n v="18"/>
    <n v="3"/>
    <n v="43.452000000000005"/>
    <n v="56.643999999999998"/>
    <n v="52.064399999999999"/>
    <x v="0"/>
    <x v="0"/>
    <x v="1"/>
  </r>
  <r>
    <x v="669"/>
    <x v="0"/>
    <x v="1"/>
    <n v="66.260000000000005"/>
    <n v="1"/>
    <n v="0.28999999999999998"/>
    <n v="96.77"/>
    <n v="6.93"/>
    <n v="4"/>
    <n v="2"/>
    <n v="42.866"/>
    <n v="37.084000000000003"/>
    <n v="38.844799999999999"/>
    <x v="0"/>
    <x v="0"/>
    <x v="0"/>
  </r>
  <r>
    <x v="670"/>
    <x v="7"/>
    <x v="0"/>
    <n v="84.32"/>
    <n v="6"/>
    <n v="9.07"/>
    <n v="65.78"/>
    <n v="57.82"/>
    <n v="6"/>
    <n v="4"/>
    <n v="61.004000000000005"/>
    <n v="79.867999999999995"/>
    <n v="63.562799999999996"/>
    <x v="1"/>
    <x v="2"/>
    <x v="2"/>
  </r>
  <r>
    <x v="671"/>
    <x v="6"/>
    <x v="2"/>
    <n v="53.48"/>
    <n v="3"/>
    <n v="1.56"/>
    <n v="56.44"/>
    <n v="59.76"/>
    <n v="18"/>
    <n v="3"/>
    <n v="58.431999999999995"/>
    <n v="42.512"/>
    <n v="56.812799999999996"/>
    <x v="1"/>
    <x v="0"/>
    <x v="1"/>
  </r>
  <r>
    <x v="672"/>
    <x v="6"/>
    <x v="0"/>
    <n v="58.74"/>
    <n v="7"/>
    <n v="2.2000000000000002"/>
    <n v="93.3"/>
    <n v="73.89"/>
    <n v="4"/>
    <n v="0"/>
    <n v="81.653999999999996"/>
    <n v="41.896000000000001"/>
    <n v="63.561199999999999"/>
    <x v="1"/>
    <x v="0"/>
    <x v="1"/>
  </r>
  <r>
    <x v="673"/>
    <x v="6"/>
    <x v="1"/>
    <n v="92.79"/>
    <n v="10"/>
    <n v="5.18"/>
    <n v="58.65"/>
    <n v="2.92"/>
    <n v="16"/>
    <n v="3"/>
    <n v="25.212"/>
    <n v="79.475999999999999"/>
    <n v="46.97"/>
    <x v="0"/>
    <x v="0"/>
    <x v="1"/>
  </r>
  <r>
    <x v="674"/>
    <x v="1"/>
    <x v="0"/>
    <n v="61.36"/>
    <n v="2"/>
    <n v="7.1"/>
    <n v="52.61"/>
    <n v="54.12"/>
    <n v="7"/>
    <n v="2"/>
    <n v="53.515999999999991"/>
    <n v="50.744"/>
    <n v="50.832799999999992"/>
    <x v="0"/>
    <x v="0"/>
    <x v="1"/>
  </r>
  <r>
    <x v="675"/>
    <x v="2"/>
    <x v="0"/>
    <n v="91.85"/>
    <n v="5"/>
    <n v="0.96"/>
    <n v="75.930000000000007"/>
    <n v="5.29"/>
    <n v="0"/>
    <n v="1"/>
    <n v="33.546000000000006"/>
    <n v="52.660000000000004"/>
    <n v="35.925600000000003"/>
    <x v="0"/>
    <x v="0"/>
    <x v="1"/>
  </r>
  <r>
    <x v="676"/>
    <x v="1"/>
    <x v="0"/>
    <n v="63.96"/>
    <n v="8"/>
    <n v="3.18"/>
    <n v="71.27"/>
    <n v="70.11"/>
    <n v="1"/>
    <n v="1"/>
    <n v="70.573999999999998"/>
    <n v="51.944000000000003"/>
    <n v="58.427599999999998"/>
    <x v="1"/>
    <x v="0"/>
    <x v="1"/>
  </r>
  <r>
    <x v="677"/>
    <x v="4"/>
    <x v="1"/>
    <n v="82.14"/>
    <n v="0"/>
    <n v="9.69"/>
    <n v="19.32"/>
    <n v="5.57"/>
    <n v="14"/>
    <n v="1"/>
    <n v="11.07"/>
    <n v="56.236000000000004"/>
    <n v="30.512799999999999"/>
    <x v="0"/>
    <x v="0"/>
    <x v="0"/>
  </r>
  <r>
    <x v="678"/>
    <x v="5"/>
    <x v="0"/>
    <n v="84.71"/>
    <n v="0"/>
    <n v="2.62"/>
    <n v="47.13"/>
    <n v="91.17"/>
    <n v="19"/>
    <n v="0"/>
    <n v="73.554000000000002"/>
    <n v="39.124000000000002"/>
    <n v="65.369599999999991"/>
    <x v="1"/>
    <x v="2"/>
    <x v="2"/>
  </r>
  <r>
    <x v="679"/>
    <x v="5"/>
    <x v="0"/>
    <n v="75.63"/>
    <n v="7"/>
    <n v="3.13"/>
    <n v="47.25"/>
    <n v="70.209999999999994"/>
    <n v="17"/>
    <n v="2"/>
    <n v="61.025999999999996"/>
    <n v="58.511999999999993"/>
    <n v="62.669199999999989"/>
    <x v="1"/>
    <x v="2"/>
    <x v="2"/>
  </r>
  <r>
    <x v="680"/>
    <x v="4"/>
    <x v="2"/>
    <n v="65.27"/>
    <n v="2"/>
    <n v="8.36"/>
    <n v="37.82"/>
    <n v="50.74"/>
    <n v="10"/>
    <n v="4"/>
    <n v="45.572000000000003"/>
    <n v="62.828000000000003"/>
    <n v="51.191600000000001"/>
    <x v="0"/>
    <x v="0"/>
    <x v="0"/>
  </r>
  <r>
    <x v="681"/>
    <x v="2"/>
    <x v="1"/>
    <n v="60.63"/>
    <n v="4"/>
    <n v="0.5"/>
    <n v="51.73"/>
    <n v="44.15"/>
    <n v="9"/>
    <n v="1"/>
    <n v="47.182000000000002"/>
    <n v="37.252000000000002"/>
    <n v="43.9848"/>
    <x v="0"/>
    <x v="0"/>
    <x v="1"/>
  </r>
  <r>
    <x v="682"/>
    <x v="0"/>
    <x v="0"/>
    <n v="51.66"/>
    <n v="0"/>
    <n v="4.6500000000000004"/>
    <n v="41.31"/>
    <n v="13.07"/>
    <n v="3"/>
    <n v="2"/>
    <n v="24.366"/>
    <n v="37.963999999999999"/>
    <n v="27.508799999999997"/>
    <x v="0"/>
    <x v="1"/>
    <x v="0"/>
  </r>
  <r>
    <x v="683"/>
    <x v="1"/>
    <x v="2"/>
    <n v="65.2"/>
    <n v="4"/>
    <n v="3.8"/>
    <n v="19.93"/>
    <n v="29.1"/>
    <n v="4"/>
    <n v="3"/>
    <n v="25.432000000000002"/>
    <n v="53.68"/>
    <n v="33.363199999999999"/>
    <x v="0"/>
    <x v="0"/>
    <x v="1"/>
  </r>
  <r>
    <x v="684"/>
    <x v="7"/>
    <x v="1"/>
    <n v="82.66"/>
    <n v="10"/>
    <n v="3.17"/>
    <n v="41.24"/>
    <n v="86.9"/>
    <n v="3"/>
    <n v="0"/>
    <n v="68.635999999999996"/>
    <n v="59.403999999999996"/>
    <n v="60.502799999999993"/>
    <x v="1"/>
    <x v="2"/>
    <x v="2"/>
  </r>
  <r>
    <x v="685"/>
    <x v="6"/>
    <x v="2"/>
    <n v="96.92"/>
    <n v="5"/>
    <n v="2.86"/>
    <n v="7.23"/>
    <n v="90.45"/>
    <n v="12"/>
    <n v="2"/>
    <n v="57.162000000000006"/>
    <n v="62.488"/>
    <n v="59.043599999999998"/>
    <x v="1"/>
    <x v="0"/>
    <x v="1"/>
  </r>
  <r>
    <x v="686"/>
    <x v="6"/>
    <x v="0"/>
    <n v="93.56"/>
    <n v="7"/>
    <n v="0.91"/>
    <n v="57.58"/>
    <n v="7.0000000000000007E-2"/>
    <n v="12"/>
    <n v="2"/>
    <n v="23.074000000000002"/>
    <n v="61.244"/>
    <n v="38.217600000000004"/>
    <x v="0"/>
    <x v="0"/>
    <x v="1"/>
  </r>
  <r>
    <x v="687"/>
    <x v="2"/>
    <x v="1"/>
    <n v="88.3"/>
    <n v="2"/>
    <n v="3.15"/>
    <n v="85.37"/>
    <n v="59.41"/>
    <n v="17"/>
    <n v="4"/>
    <n v="69.793999999999997"/>
    <n v="61.62"/>
    <n v="68.862399999999994"/>
    <x v="1"/>
    <x v="2"/>
    <x v="1"/>
  </r>
  <r>
    <x v="688"/>
    <x v="0"/>
    <x v="1"/>
    <n v="89.42"/>
    <n v="2"/>
    <n v="0.43"/>
    <n v="72.53"/>
    <n v="71.930000000000007"/>
    <n v="1"/>
    <n v="2"/>
    <n v="72.17"/>
    <n v="48.628"/>
    <n v="58.3904"/>
    <x v="1"/>
    <x v="2"/>
    <x v="0"/>
  </r>
  <r>
    <x v="689"/>
    <x v="5"/>
    <x v="0"/>
    <n v="83.25"/>
    <n v="10"/>
    <n v="7.81"/>
    <n v="36.04"/>
    <n v="61.87"/>
    <n v="15"/>
    <n v="4"/>
    <n v="51.537999999999997"/>
    <n v="84.92"/>
    <n v="63.898799999999994"/>
    <x v="1"/>
    <x v="0"/>
    <x v="2"/>
  </r>
  <r>
    <x v="690"/>
    <x v="5"/>
    <x v="1"/>
    <n v="63.01"/>
    <n v="10"/>
    <n v="3.98"/>
    <n v="8.7100000000000009"/>
    <n v="8.17"/>
    <n v="0"/>
    <n v="0"/>
    <n v="8.386000000000001"/>
    <n v="53.164000000000001"/>
    <n v="20.980799999999999"/>
    <x v="0"/>
    <x v="0"/>
    <x v="2"/>
  </r>
  <r>
    <x v="691"/>
    <x v="6"/>
    <x v="0"/>
    <n v="95.36"/>
    <n v="9"/>
    <n v="4.4400000000000004"/>
    <n v="20.21"/>
    <n v="21.77"/>
    <n v="18"/>
    <n v="0"/>
    <n v="21.146000000000001"/>
    <n v="65.024000000000001"/>
    <n v="41.194800000000001"/>
    <x v="0"/>
    <x v="0"/>
    <x v="1"/>
  </r>
  <r>
    <x v="692"/>
    <x v="2"/>
    <x v="1"/>
    <n v="83.54"/>
    <n v="8"/>
    <n v="8.94"/>
    <n v="54.55"/>
    <n v="25.03"/>
    <n v="8"/>
    <n v="3"/>
    <n v="36.838000000000001"/>
    <n v="79.296000000000006"/>
    <n v="49.891599999999997"/>
    <x v="0"/>
    <x v="0"/>
    <x v="1"/>
  </r>
  <r>
    <x v="693"/>
    <x v="1"/>
    <x v="0"/>
    <n v="78.02"/>
    <n v="3"/>
    <n v="6.58"/>
    <n v="20.71"/>
    <n v="83.17"/>
    <n v="2"/>
    <n v="4"/>
    <n v="58.186"/>
    <n v="66.367999999999995"/>
    <n v="55.822000000000003"/>
    <x v="1"/>
    <x v="0"/>
    <x v="1"/>
  </r>
  <r>
    <x v="694"/>
    <x v="5"/>
    <x v="1"/>
    <n v="55.55"/>
    <n v="3"/>
    <n v="0.08"/>
    <n v="54.4"/>
    <n v="46.32"/>
    <n v="6"/>
    <n v="4"/>
    <n v="49.552"/>
    <n v="44.379999999999995"/>
    <n v="46.045199999999994"/>
    <x v="0"/>
    <x v="1"/>
    <x v="2"/>
  </r>
  <r>
    <x v="695"/>
    <x v="1"/>
    <x v="0"/>
    <n v="72.349999999999994"/>
    <n v="6"/>
    <n v="9.43"/>
    <n v="23.16"/>
    <n v="48.68"/>
    <n v="9"/>
    <n v="1"/>
    <n v="38.472000000000001"/>
    <n v="63.8"/>
    <n v="46.723199999999999"/>
    <x v="0"/>
    <x v="0"/>
    <x v="1"/>
  </r>
  <r>
    <x v="696"/>
    <x v="0"/>
    <x v="2"/>
    <n v="73.02"/>
    <n v="1"/>
    <n v="2.37"/>
    <n v="84.89"/>
    <n v="93.49"/>
    <n v="0"/>
    <n v="1"/>
    <n v="90.05"/>
    <n v="39.948"/>
    <n v="66.014399999999995"/>
    <x v="1"/>
    <x v="2"/>
    <x v="0"/>
  </r>
  <r>
    <x v="697"/>
    <x v="5"/>
    <x v="2"/>
    <n v="93.23"/>
    <n v="7"/>
    <n v="1.08"/>
    <n v="39.729999999999997"/>
    <n v="63.71"/>
    <n v="9"/>
    <n v="3"/>
    <n v="54.117999999999995"/>
    <n v="65.451999999999998"/>
    <n v="56.606399999999994"/>
    <x v="1"/>
    <x v="0"/>
    <x v="2"/>
  </r>
  <r>
    <x v="698"/>
    <x v="5"/>
    <x v="0"/>
    <n v="77.33"/>
    <n v="5"/>
    <n v="7.68"/>
    <n v="24.56"/>
    <n v="89.87"/>
    <n v="8"/>
    <n v="0"/>
    <n v="63.746000000000002"/>
    <n v="56.292000000000002"/>
    <n v="59.135199999999998"/>
    <x v="1"/>
    <x v="2"/>
    <x v="2"/>
  </r>
  <r>
    <x v="699"/>
    <x v="3"/>
    <x v="1"/>
    <n v="69.02"/>
    <n v="2"/>
    <n v="5"/>
    <n v="81.23"/>
    <n v="45.65"/>
    <n v="14"/>
    <n v="5"/>
    <n v="59.882000000000005"/>
    <n v="61.608000000000004"/>
    <n v="61.411600000000007"/>
    <x v="1"/>
    <x v="0"/>
    <x v="2"/>
  </r>
  <r>
    <x v="700"/>
    <x v="5"/>
    <x v="0"/>
    <n v="98.84"/>
    <n v="8"/>
    <n v="4.34"/>
    <n v="34.28"/>
    <n v="14.94"/>
    <n v="14"/>
    <n v="1"/>
    <n v="22.676000000000002"/>
    <n v="68.216000000000008"/>
    <n v="41.070399999999999"/>
    <x v="0"/>
    <x v="0"/>
    <x v="2"/>
  </r>
  <r>
    <x v="701"/>
    <x v="4"/>
    <x v="1"/>
    <n v="55.54"/>
    <n v="4"/>
    <n v="2.5"/>
    <n v="11.15"/>
    <n v="92.99"/>
    <n v="2"/>
    <n v="2"/>
    <n v="60.253999999999998"/>
    <n v="43.216000000000001"/>
    <n v="50.117199999999997"/>
    <x v="0"/>
    <x v="0"/>
    <x v="0"/>
  </r>
  <r>
    <x v="702"/>
    <x v="7"/>
    <x v="1"/>
    <n v="71.13"/>
    <n v="7"/>
    <n v="5.47"/>
    <n v="57.04"/>
    <n v="45.87"/>
    <n v="4"/>
    <n v="0"/>
    <n v="50.338000000000001"/>
    <n v="53.391999999999996"/>
    <n v="48.220399999999998"/>
    <x v="0"/>
    <x v="0"/>
    <x v="2"/>
  </r>
  <r>
    <x v="703"/>
    <x v="4"/>
    <x v="1"/>
    <n v="52.1"/>
    <n v="6"/>
    <n v="2.74"/>
    <n v="58.16"/>
    <n v="18.16"/>
    <n v="8"/>
    <n v="5"/>
    <n v="34.159999999999997"/>
    <n v="58.320000000000007"/>
    <n v="41.992000000000004"/>
    <x v="0"/>
    <x v="1"/>
    <x v="0"/>
  </r>
  <r>
    <x v="704"/>
    <x v="2"/>
    <x v="0"/>
    <n v="87"/>
    <n v="7"/>
    <n v="9.02"/>
    <n v="71.47"/>
    <n v="30.24"/>
    <n v="8"/>
    <n v="2"/>
    <n v="46.731999999999999"/>
    <n v="74.84"/>
    <n v="54.491199999999999"/>
    <x v="0"/>
    <x v="0"/>
    <x v="1"/>
  </r>
  <r>
    <x v="705"/>
    <x v="2"/>
    <x v="0"/>
    <n v="95.9"/>
    <n v="6"/>
    <n v="2.15"/>
    <n v="24.02"/>
    <n v="5.08"/>
    <n v="6"/>
    <n v="4"/>
    <n v="12.656000000000001"/>
    <n v="70.66"/>
    <n v="31.791599999999995"/>
    <x v="0"/>
    <x v="0"/>
    <x v="1"/>
  </r>
  <r>
    <x v="706"/>
    <x v="1"/>
    <x v="0"/>
    <n v="64"/>
    <n v="2"/>
    <n v="8.84"/>
    <n v="44.38"/>
    <n v="46.83"/>
    <n v="11"/>
    <n v="0"/>
    <n v="45.85"/>
    <n v="47.28"/>
    <n v="47.194000000000003"/>
    <x v="0"/>
    <x v="0"/>
    <x v="1"/>
  </r>
  <r>
    <x v="707"/>
    <x v="4"/>
    <x v="1"/>
    <n v="92.92"/>
    <n v="1"/>
    <n v="5.59"/>
    <n v="28.24"/>
    <n v="85.31"/>
    <n v="8"/>
    <n v="3"/>
    <n v="62.481999999999999"/>
    <n v="62.347999999999999"/>
    <n v="60.193599999999996"/>
    <x v="1"/>
    <x v="2"/>
    <x v="0"/>
  </r>
  <r>
    <x v="708"/>
    <x v="4"/>
    <x v="1"/>
    <n v="64.61"/>
    <n v="6"/>
    <n v="8.2799999999999994"/>
    <n v="8.1"/>
    <n v="93.36"/>
    <n v="5"/>
    <n v="4"/>
    <n v="59.256"/>
    <n v="70.403999999999996"/>
    <n v="59.174799999999991"/>
    <x v="1"/>
    <x v="0"/>
    <x v="0"/>
  </r>
  <r>
    <x v="709"/>
    <x v="4"/>
    <x v="2"/>
    <n v="95.54"/>
    <n v="2"/>
    <n v="7.13"/>
    <n v="87.66"/>
    <n v="93.26"/>
    <n v="1"/>
    <n v="4"/>
    <n v="91.02000000000001"/>
    <n v="72.475999999999999"/>
    <n v="76.854799999999997"/>
    <x v="2"/>
    <x v="2"/>
    <x v="0"/>
  </r>
  <r>
    <x v="710"/>
    <x v="0"/>
    <x v="1"/>
    <n v="87.7"/>
    <n v="2"/>
    <n v="6.97"/>
    <n v="72.89"/>
    <n v="12.52"/>
    <n v="8"/>
    <n v="2"/>
    <n v="36.667999999999999"/>
    <n v="61.02"/>
    <n v="44.306799999999996"/>
    <x v="0"/>
    <x v="0"/>
    <x v="0"/>
  </r>
  <r>
    <x v="711"/>
    <x v="5"/>
    <x v="0"/>
    <n v="90.25"/>
    <n v="1"/>
    <n v="3.24"/>
    <n v="30.15"/>
    <n v="38.21"/>
    <n v="16"/>
    <n v="4"/>
    <n v="34.985999999999997"/>
    <n v="60.58"/>
    <n v="47.165599999999998"/>
    <x v="0"/>
    <x v="0"/>
    <x v="2"/>
  </r>
  <r>
    <x v="712"/>
    <x v="7"/>
    <x v="1"/>
    <n v="50.9"/>
    <n v="3"/>
    <n v="2.34"/>
    <n v="59.94"/>
    <n v="2.82"/>
    <n v="0"/>
    <n v="1"/>
    <n v="25.667999999999999"/>
    <n v="35.04"/>
    <n v="25.912799999999997"/>
    <x v="0"/>
    <x v="1"/>
    <x v="2"/>
  </r>
  <r>
    <x v="713"/>
    <x v="1"/>
    <x v="0"/>
    <n v="98.14"/>
    <n v="7"/>
    <n v="2.11"/>
    <n v="20.13"/>
    <n v="85.52"/>
    <n v="18"/>
    <n v="0"/>
    <n v="59.363999999999997"/>
    <n v="57.475999999999999"/>
    <n v="61.861199999999997"/>
    <x v="1"/>
    <x v="0"/>
    <x v="1"/>
  </r>
  <r>
    <x v="714"/>
    <x v="4"/>
    <x v="0"/>
    <n v="86.33"/>
    <n v="0"/>
    <n v="8.57"/>
    <n v="89.02"/>
    <n v="35.880000000000003"/>
    <n v="5"/>
    <n v="1"/>
    <n v="57.135999999999996"/>
    <n v="55.672000000000004"/>
    <n v="53.483199999999997"/>
    <x v="0"/>
    <x v="0"/>
    <x v="0"/>
  </r>
  <r>
    <x v="715"/>
    <x v="4"/>
    <x v="1"/>
    <n v="65.239999999999995"/>
    <n v="0"/>
    <n v="8.1999999999999993"/>
    <n v="11.49"/>
    <n v="63.11"/>
    <n v="4"/>
    <n v="2"/>
    <n v="42.462000000000003"/>
    <n v="50.495999999999995"/>
    <n v="42.625999999999998"/>
    <x v="0"/>
    <x v="0"/>
    <x v="0"/>
  </r>
  <r>
    <x v="716"/>
    <x v="3"/>
    <x v="1"/>
    <n v="91.47"/>
    <n v="4"/>
    <n v="4.41"/>
    <n v="0.38"/>
    <n v="71.489999999999995"/>
    <n v="1"/>
    <n v="5"/>
    <n v="43.045999999999999"/>
    <n v="73.408000000000001"/>
    <n v="48.35"/>
    <x v="0"/>
    <x v="0"/>
    <x v="2"/>
  </r>
  <r>
    <x v="717"/>
    <x v="1"/>
    <x v="0"/>
    <n v="64.08"/>
    <n v="10"/>
    <n v="1.32"/>
    <n v="50.2"/>
    <n v="42.98"/>
    <n v="8"/>
    <n v="2"/>
    <n v="45.867999999999995"/>
    <n v="56.272000000000006"/>
    <n v="48.4024"/>
    <x v="0"/>
    <x v="0"/>
    <x v="1"/>
  </r>
  <r>
    <x v="718"/>
    <x v="4"/>
    <x v="0"/>
    <n v="93.64"/>
    <n v="4"/>
    <n v="3.82"/>
    <n v="58.31"/>
    <n v="30.64"/>
    <n v="13"/>
    <n v="0"/>
    <n v="41.707999999999998"/>
    <n v="53.096000000000004"/>
    <n v="47.453600000000002"/>
    <x v="0"/>
    <x v="0"/>
    <x v="0"/>
  </r>
  <r>
    <x v="719"/>
    <x v="1"/>
    <x v="1"/>
    <n v="55.63"/>
    <n v="10"/>
    <n v="6.19"/>
    <n v="57.9"/>
    <n v="96.22"/>
    <n v="3"/>
    <n v="4"/>
    <n v="80.891999999999996"/>
    <n v="70.632000000000005"/>
    <n v="71.224800000000002"/>
    <x v="2"/>
    <x v="0"/>
    <x v="1"/>
  </r>
  <r>
    <x v="720"/>
    <x v="5"/>
    <x v="2"/>
    <n v="85.18"/>
    <n v="0"/>
    <n v="4.54"/>
    <n v="5.45"/>
    <n v="96.45"/>
    <n v="3"/>
    <n v="3"/>
    <n v="60.05"/>
    <n v="55.152000000000001"/>
    <n v="54.075599999999994"/>
    <x v="0"/>
    <x v="2"/>
    <x v="2"/>
  </r>
  <r>
    <x v="721"/>
    <x v="3"/>
    <x v="1"/>
    <n v="77.03"/>
    <n v="5"/>
    <n v="7.8"/>
    <n v="31.4"/>
    <n v="28.94"/>
    <n v="14"/>
    <n v="2"/>
    <n v="29.923999999999999"/>
    <n v="64.412000000000006"/>
    <n v="44.278000000000006"/>
    <x v="0"/>
    <x v="0"/>
    <x v="2"/>
  </r>
  <r>
    <x v="722"/>
    <x v="1"/>
    <x v="1"/>
    <n v="54.83"/>
    <n v="0"/>
    <n v="9.98"/>
    <n v="49.92"/>
    <n v="47.96"/>
    <n v="7"/>
    <n v="0"/>
    <n v="48.744"/>
    <n v="41.892000000000003"/>
    <n v="45.314"/>
    <x v="0"/>
    <x v="1"/>
    <x v="1"/>
  </r>
  <r>
    <x v="723"/>
    <x v="7"/>
    <x v="2"/>
    <n v="62.09"/>
    <n v="4"/>
    <n v="1.91"/>
    <n v="21.66"/>
    <n v="97.28"/>
    <n v="3"/>
    <n v="3"/>
    <n v="67.031999999999996"/>
    <n v="48.655999999999999"/>
    <n v="56.315999999999988"/>
    <x v="1"/>
    <x v="0"/>
    <x v="2"/>
  </r>
  <r>
    <x v="724"/>
    <x v="7"/>
    <x v="1"/>
    <n v="50.62"/>
    <n v="8"/>
    <n v="4.5999999999999996"/>
    <n v="87.26"/>
    <n v="0.49"/>
    <n v="15"/>
    <n v="4"/>
    <n v="35.198"/>
    <n v="61.448000000000008"/>
    <n v="47.053200000000004"/>
    <x v="0"/>
    <x v="1"/>
    <x v="2"/>
  </r>
  <r>
    <x v="725"/>
    <x v="2"/>
    <x v="0"/>
    <n v="73.44"/>
    <n v="4"/>
    <n v="4.3099999999999996"/>
    <n v="8.7100000000000009"/>
    <n v="41.27"/>
    <n v="3"/>
    <n v="5"/>
    <n v="28.246000000000002"/>
    <n v="65.996000000000009"/>
    <n v="38.246400000000008"/>
    <x v="0"/>
    <x v="0"/>
    <x v="1"/>
  </r>
  <r>
    <x v="726"/>
    <x v="3"/>
    <x v="1"/>
    <n v="65.06"/>
    <n v="5"/>
    <n v="3.04"/>
    <n v="48.74"/>
    <n v="10.050000000000001"/>
    <n v="15"/>
    <n v="2"/>
    <n v="25.526000000000003"/>
    <n v="50.103999999999999"/>
    <n v="37.846800000000002"/>
    <x v="0"/>
    <x v="0"/>
    <x v="2"/>
  </r>
  <r>
    <x v="727"/>
    <x v="3"/>
    <x v="1"/>
    <n v="79.92"/>
    <n v="7"/>
    <n v="1.98"/>
    <n v="69.14"/>
    <n v="50.92"/>
    <n v="11"/>
    <n v="5"/>
    <n v="58.207999999999998"/>
    <n v="69.927999999999997"/>
    <n v="61.403199999999998"/>
    <x v="1"/>
    <x v="0"/>
    <x v="2"/>
  </r>
  <r>
    <x v="728"/>
    <x v="2"/>
    <x v="2"/>
    <n v="64.86"/>
    <n v="10"/>
    <n v="0.66"/>
    <n v="26.18"/>
    <n v="2.4700000000000002"/>
    <n v="15"/>
    <n v="0"/>
    <n v="11.954000000000001"/>
    <n v="47.264000000000003"/>
    <n v="28.851600000000001"/>
    <x v="0"/>
    <x v="0"/>
    <x v="1"/>
  </r>
  <r>
    <x v="729"/>
    <x v="1"/>
    <x v="1"/>
    <n v="65"/>
    <n v="0"/>
    <n v="8.8699999999999992"/>
    <n v="62.42"/>
    <n v="40.69"/>
    <n v="18"/>
    <n v="5"/>
    <n v="49.382000000000005"/>
    <n v="63.739999999999995"/>
    <n v="57.751199999999997"/>
    <x v="1"/>
    <x v="0"/>
    <x v="1"/>
  </r>
  <r>
    <x v="730"/>
    <x v="3"/>
    <x v="0"/>
    <n v="87.16"/>
    <n v="1"/>
    <n v="4.2"/>
    <n v="82.94"/>
    <n v="22.07"/>
    <n v="7"/>
    <n v="5"/>
    <n v="46.417999999999999"/>
    <n v="65.263999999999996"/>
    <n v="50.929999999999993"/>
    <x v="0"/>
    <x v="0"/>
    <x v="2"/>
  </r>
  <r>
    <x v="731"/>
    <x v="7"/>
    <x v="1"/>
    <n v="52.41"/>
    <n v="8"/>
    <n v="4.97"/>
    <n v="19.03"/>
    <n v="53.33"/>
    <n v="5"/>
    <n v="0"/>
    <n v="39.61"/>
    <n v="46.903999999999996"/>
    <n v="40.337199999999996"/>
    <x v="0"/>
    <x v="1"/>
    <x v="2"/>
  </r>
  <r>
    <x v="732"/>
    <x v="7"/>
    <x v="1"/>
    <n v="95.14"/>
    <n v="2"/>
    <n v="9.17"/>
    <n v="91.72"/>
    <n v="99.6"/>
    <n v="9"/>
    <n v="0"/>
    <n v="96.447999999999993"/>
    <n v="60.396000000000001"/>
    <n v="80.487599999999986"/>
    <x v="2"/>
    <x v="2"/>
    <x v="2"/>
  </r>
  <r>
    <x v="733"/>
    <x v="4"/>
    <x v="1"/>
    <n v="92.61"/>
    <n v="5"/>
    <n v="7.76"/>
    <n v="55.36"/>
    <n v="80.05"/>
    <n v="4"/>
    <n v="2"/>
    <n v="70.173999999999992"/>
    <n v="70.564000000000007"/>
    <n v="65.273599999999988"/>
    <x v="1"/>
    <x v="2"/>
    <x v="0"/>
  </r>
  <r>
    <x v="734"/>
    <x v="5"/>
    <x v="0"/>
    <n v="83.39"/>
    <n v="4"/>
    <n v="1.31"/>
    <n v="29.92"/>
    <n v="84.56"/>
    <n v="17"/>
    <n v="5"/>
    <n v="62.704000000000001"/>
    <n v="63.975999999999999"/>
    <n v="65.315200000000004"/>
    <x v="1"/>
    <x v="2"/>
    <x v="2"/>
  </r>
  <r>
    <x v="735"/>
    <x v="3"/>
    <x v="1"/>
    <n v="79.66"/>
    <n v="10"/>
    <n v="5.65"/>
    <n v="43.09"/>
    <n v="63.53"/>
    <n v="9"/>
    <n v="3"/>
    <n v="55.353999999999999"/>
    <n v="75.164000000000001"/>
    <n v="60.261599999999994"/>
    <x v="1"/>
    <x v="0"/>
    <x v="2"/>
  </r>
  <r>
    <x v="736"/>
    <x v="1"/>
    <x v="0"/>
    <n v="94.62"/>
    <n v="1"/>
    <n v="4.42"/>
    <n v="31.22"/>
    <n v="4.16"/>
    <n v="9"/>
    <n v="0"/>
    <n v="14.984"/>
    <n v="48.688000000000002"/>
    <n v="28.096800000000002"/>
    <x v="0"/>
    <x v="0"/>
    <x v="1"/>
  </r>
  <r>
    <x v="737"/>
    <x v="2"/>
    <x v="0"/>
    <n v="59.27"/>
    <n v="6"/>
    <n v="7.97"/>
    <n v="72.510000000000005"/>
    <n v="20.68"/>
    <n v="6"/>
    <n v="4"/>
    <n v="41.412000000000006"/>
    <n v="67.647999999999996"/>
    <n v="48.141600000000004"/>
    <x v="0"/>
    <x v="1"/>
    <x v="1"/>
  </r>
  <r>
    <x v="738"/>
    <x v="2"/>
    <x v="2"/>
    <n v="53.95"/>
    <n v="3"/>
    <n v="7.24"/>
    <n v="79.63"/>
    <n v="92.51"/>
    <n v="17"/>
    <n v="5"/>
    <n v="87.358000000000004"/>
    <n v="62.06"/>
    <n v="79.532799999999995"/>
    <x v="2"/>
    <x v="0"/>
    <x v="1"/>
  </r>
  <r>
    <x v="739"/>
    <x v="1"/>
    <x v="1"/>
    <n v="61.98"/>
    <n v="0"/>
    <n v="6.9"/>
    <n v="83.29"/>
    <n v="36.61"/>
    <n v="0"/>
    <n v="0"/>
    <n v="55.281999999999996"/>
    <n v="38.591999999999999"/>
    <n v="44.746799999999993"/>
    <x v="0"/>
    <x v="0"/>
    <x v="1"/>
  </r>
  <r>
    <x v="740"/>
    <x v="0"/>
    <x v="0"/>
    <n v="89.73"/>
    <n v="3"/>
    <n v="3.41"/>
    <n v="98.58"/>
    <n v="10.36"/>
    <n v="6"/>
    <n v="3"/>
    <n v="45.648000000000003"/>
    <n v="60.712000000000003"/>
    <n v="48.602400000000003"/>
    <x v="0"/>
    <x v="0"/>
    <x v="0"/>
  </r>
  <r>
    <x v="741"/>
    <x v="6"/>
    <x v="0"/>
    <n v="51.73"/>
    <n v="5"/>
    <n v="8.0500000000000007"/>
    <n v="79.13"/>
    <n v="70.239999999999995"/>
    <n v="0"/>
    <n v="2"/>
    <n v="73.795999999999992"/>
    <n v="54.792000000000002"/>
    <n v="60.715199999999996"/>
    <x v="1"/>
    <x v="0"/>
    <x v="1"/>
  </r>
  <r>
    <x v="742"/>
    <x v="5"/>
    <x v="0"/>
    <n v="79.14"/>
    <n v="6"/>
    <n v="0.52"/>
    <n v="60.14"/>
    <n v="29.95"/>
    <n v="14"/>
    <n v="5"/>
    <n v="42.025999999999996"/>
    <n v="64.695999999999998"/>
    <n v="51.624399999999994"/>
    <x v="0"/>
    <x v="0"/>
    <x v="2"/>
  </r>
  <r>
    <x v="743"/>
    <x v="2"/>
    <x v="0"/>
    <n v="99.77"/>
    <n v="6"/>
    <n v="1.6"/>
    <n v="33.92"/>
    <n v="26.89"/>
    <n v="3"/>
    <n v="0"/>
    <n v="29.702000000000002"/>
    <n v="55.108000000000004"/>
    <n v="35.8536"/>
    <x v="0"/>
    <x v="0"/>
    <x v="1"/>
  </r>
  <r>
    <x v="744"/>
    <x v="3"/>
    <x v="0"/>
    <n v="92.78"/>
    <n v="6"/>
    <n v="3.36"/>
    <n v="54.46"/>
    <n v="99.8"/>
    <n v="19"/>
    <n v="0"/>
    <n v="81.664000000000001"/>
    <n v="55.832000000000001"/>
    <n v="75.24799999999999"/>
    <x v="2"/>
    <x v="2"/>
    <x v="2"/>
  </r>
  <r>
    <x v="745"/>
    <x v="5"/>
    <x v="0"/>
    <n v="76.069999999999993"/>
    <n v="2"/>
    <n v="0.77"/>
    <n v="4.1100000000000003"/>
    <n v="85.81"/>
    <n v="9"/>
    <n v="4"/>
    <n v="53.129999999999995"/>
    <n v="51.967999999999996"/>
    <n v="51.968399999999995"/>
    <x v="0"/>
    <x v="0"/>
    <x v="2"/>
  </r>
  <r>
    <x v="746"/>
    <x v="3"/>
    <x v="1"/>
    <n v="53.18"/>
    <n v="5"/>
    <n v="2.35"/>
    <n v="74.48"/>
    <n v="40.79"/>
    <n v="8"/>
    <n v="4"/>
    <n v="54.266000000000005"/>
    <n v="51.972000000000001"/>
    <n v="52.151200000000003"/>
    <x v="0"/>
    <x v="0"/>
    <x v="2"/>
  </r>
  <r>
    <x v="747"/>
    <x v="0"/>
    <x v="1"/>
    <n v="91.57"/>
    <n v="7"/>
    <n v="8.3000000000000007"/>
    <n v="44.6"/>
    <n v="98.03"/>
    <n v="1"/>
    <n v="5"/>
    <n v="76.658000000000001"/>
    <n v="87.228000000000009"/>
    <n v="72.663200000000003"/>
    <x v="2"/>
    <x v="2"/>
    <x v="0"/>
  </r>
  <r>
    <x v="748"/>
    <x v="7"/>
    <x v="2"/>
    <n v="79.95"/>
    <n v="3"/>
    <n v="9.48"/>
    <n v="2"/>
    <n v="65.010000000000005"/>
    <n v="13"/>
    <n v="0"/>
    <n v="39.805999999999997"/>
    <n v="56.940000000000005"/>
    <n v="47.465599999999995"/>
    <x v="0"/>
    <x v="0"/>
    <x v="2"/>
  </r>
  <r>
    <x v="749"/>
    <x v="5"/>
    <x v="0"/>
    <n v="55.75"/>
    <n v="7"/>
    <n v="3.05"/>
    <n v="6.25"/>
    <n v="74.2"/>
    <n v="15"/>
    <n v="5"/>
    <n v="47.02"/>
    <n v="62.4"/>
    <n v="54.432000000000002"/>
    <x v="0"/>
    <x v="1"/>
    <x v="2"/>
  </r>
  <r>
    <x v="750"/>
    <x v="4"/>
    <x v="0"/>
    <n v="54.69"/>
    <n v="1"/>
    <n v="2.65"/>
    <n v="38.75"/>
    <n v="3.15"/>
    <n v="0"/>
    <n v="0"/>
    <n v="17.39"/>
    <n v="29.176000000000002"/>
    <n v="19.186799999999998"/>
    <x v="0"/>
    <x v="1"/>
    <x v="0"/>
  </r>
  <r>
    <x v="751"/>
    <x v="2"/>
    <x v="0"/>
    <n v="95.48"/>
    <n v="9"/>
    <n v="2.8"/>
    <n v="58.34"/>
    <n v="12.16"/>
    <n v="1"/>
    <n v="4"/>
    <n v="30.632000000000001"/>
    <n v="77.792000000000002"/>
    <n v="42.216799999999999"/>
    <x v="0"/>
    <x v="0"/>
    <x v="1"/>
  </r>
  <r>
    <x v="752"/>
    <x v="5"/>
    <x v="1"/>
    <n v="83.46"/>
    <n v="8"/>
    <n v="2.78"/>
    <n v="46.42"/>
    <n v="63.31"/>
    <n v="6"/>
    <n v="3"/>
    <n v="56.554000000000002"/>
    <n v="66.944000000000003"/>
    <n v="57.015600000000006"/>
    <x v="1"/>
    <x v="0"/>
    <x v="2"/>
  </r>
  <r>
    <x v="753"/>
    <x v="5"/>
    <x v="1"/>
    <n v="91.46"/>
    <n v="8"/>
    <n v="0.36"/>
    <n v="61.92"/>
    <n v="89.9"/>
    <n v="9"/>
    <n v="1"/>
    <n v="78.707999999999998"/>
    <n v="57.303999999999995"/>
    <n v="68.915999999999997"/>
    <x v="1"/>
    <x v="2"/>
    <x v="2"/>
  </r>
  <r>
    <x v="754"/>
    <x v="5"/>
    <x v="0"/>
    <n v="93.95"/>
    <n v="7"/>
    <n v="9.27"/>
    <n v="48.03"/>
    <n v="62.37"/>
    <n v="19"/>
    <n v="1"/>
    <n v="56.634"/>
    <n v="74.12"/>
    <n v="65.716399999999993"/>
    <x v="1"/>
    <x v="0"/>
    <x v="2"/>
  </r>
  <r>
    <x v="755"/>
    <x v="6"/>
    <x v="1"/>
    <n v="78.59"/>
    <n v="9"/>
    <n v="2.14"/>
    <n v="66.17"/>
    <n v="13.4"/>
    <n v="0"/>
    <n v="0"/>
    <n v="34.508000000000003"/>
    <n v="53.716000000000008"/>
    <n v="36.819600000000008"/>
    <x v="0"/>
    <x v="0"/>
    <x v="1"/>
  </r>
  <r>
    <x v="756"/>
    <x v="5"/>
    <x v="1"/>
    <n v="75.87"/>
    <n v="9"/>
    <n v="4.2"/>
    <n v="21.91"/>
    <n v="11.58"/>
    <n v="12"/>
    <n v="4"/>
    <n v="15.712"/>
    <n v="72.74799999999999"/>
    <n v="37.251599999999996"/>
    <x v="0"/>
    <x v="0"/>
    <x v="2"/>
  </r>
  <r>
    <x v="757"/>
    <x v="3"/>
    <x v="0"/>
    <n v="71.52"/>
    <n v="0"/>
    <n v="0.1"/>
    <n v="11.28"/>
    <n v="84.42"/>
    <n v="0"/>
    <n v="2"/>
    <n v="55.164000000000001"/>
    <n v="36.808"/>
    <n v="44.140799999999999"/>
    <x v="0"/>
    <x v="0"/>
    <x v="2"/>
  </r>
  <r>
    <x v="758"/>
    <x v="7"/>
    <x v="1"/>
    <n v="65.849999999999994"/>
    <n v="1"/>
    <n v="8.58"/>
    <n v="59.64"/>
    <n v="13.93"/>
    <n v="4"/>
    <n v="2"/>
    <n v="32.213999999999999"/>
    <n v="53.5"/>
    <n v="37.378399999999999"/>
    <x v="0"/>
    <x v="0"/>
    <x v="2"/>
  </r>
  <r>
    <x v="759"/>
    <x v="0"/>
    <x v="0"/>
    <n v="71.73"/>
    <n v="5"/>
    <n v="7.31"/>
    <n v="48.47"/>
    <n v="52.02"/>
    <n v="15"/>
    <n v="1"/>
    <n v="50.6"/>
    <n v="57.312000000000005"/>
    <n v="55.053600000000003"/>
    <x v="1"/>
    <x v="0"/>
    <x v="0"/>
  </r>
  <r>
    <x v="760"/>
    <x v="1"/>
    <x v="1"/>
    <n v="88.69"/>
    <n v="9"/>
    <n v="9.4700000000000006"/>
    <n v="2.69"/>
    <n v="3.71"/>
    <n v="14"/>
    <n v="3"/>
    <n v="3.302"/>
    <n v="84.415999999999997"/>
    <n v="34.305999999999997"/>
    <x v="0"/>
    <x v="0"/>
    <x v="1"/>
  </r>
  <r>
    <x v="761"/>
    <x v="5"/>
    <x v="0"/>
    <n v="80.099999999999994"/>
    <n v="4"/>
    <n v="7.82"/>
    <n v="38.049999999999997"/>
    <n v="8.07"/>
    <n v="16"/>
    <n v="1"/>
    <n v="20.061999999999998"/>
    <n v="59.68"/>
    <n v="37.941199999999995"/>
    <x v="0"/>
    <x v="0"/>
    <x v="2"/>
  </r>
  <r>
    <x v="762"/>
    <x v="2"/>
    <x v="1"/>
    <n v="94.63"/>
    <n v="8"/>
    <n v="3.14"/>
    <n v="10.61"/>
    <n v="67.23"/>
    <n v="15"/>
    <n v="0"/>
    <n v="44.582000000000001"/>
    <n v="60.131999999999998"/>
    <n v="52.288799999999995"/>
    <x v="0"/>
    <x v="0"/>
    <x v="1"/>
  </r>
  <r>
    <x v="763"/>
    <x v="5"/>
    <x v="0"/>
    <n v="72.17"/>
    <n v="4"/>
    <n v="2.48"/>
    <n v="53.14"/>
    <n v="68.92"/>
    <n v="12"/>
    <n v="3"/>
    <n v="62.607999999999997"/>
    <n v="53.828000000000003"/>
    <n v="59.713200000000001"/>
    <x v="1"/>
    <x v="2"/>
    <x v="2"/>
  </r>
  <r>
    <x v="764"/>
    <x v="2"/>
    <x v="1"/>
    <n v="80.349999999999994"/>
    <n v="1"/>
    <n v="6.98"/>
    <n v="39.58"/>
    <n v="34.15"/>
    <n v="10"/>
    <n v="2"/>
    <n v="36.322000000000003"/>
    <n v="56.1"/>
    <n v="43.623199999999997"/>
    <x v="0"/>
    <x v="0"/>
    <x v="1"/>
  </r>
  <r>
    <x v="765"/>
    <x v="3"/>
    <x v="1"/>
    <n v="81.569999999999993"/>
    <n v="9"/>
    <n v="3.64"/>
    <n v="61.32"/>
    <n v="21.56"/>
    <n v="16"/>
    <n v="4"/>
    <n v="37.463999999999999"/>
    <n v="73.908000000000001"/>
    <n v="52.650799999999997"/>
    <x v="0"/>
    <x v="0"/>
    <x v="2"/>
  </r>
  <r>
    <x v="766"/>
    <x v="2"/>
    <x v="1"/>
    <n v="79.58"/>
    <n v="3"/>
    <n v="5.66"/>
    <n v="80.56"/>
    <n v="81.37"/>
    <n v="16"/>
    <n v="4"/>
    <n v="81.046000000000006"/>
    <n v="65.152000000000001"/>
    <n v="76.173200000000008"/>
    <x v="2"/>
    <x v="2"/>
    <x v="1"/>
  </r>
  <r>
    <x v="767"/>
    <x v="4"/>
    <x v="0"/>
    <n v="85.13"/>
    <n v="8"/>
    <n v="0.06"/>
    <n v="29.97"/>
    <n v="21.71"/>
    <n v="1"/>
    <n v="0"/>
    <n v="25.013999999999999"/>
    <n v="50.171999999999997"/>
    <n v="30.559999999999995"/>
    <x v="0"/>
    <x v="0"/>
    <x v="0"/>
  </r>
  <r>
    <x v="768"/>
    <x v="1"/>
    <x v="0"/>
    <n v="61.87"/>
    <n v="0"/>
    <n v="0.62"/>
    <n v="96.21"/>
    <n v="54.2"/>
    <n v="12"/>
    <n v="1"/>
    <n v="71.004000000000005"/>
    <n v="29.988"/>
    <n v="57.598800000000004"/>
    <x v="1"/>
    <x v="0"/>
    <x v="1"/>
  </r>
  <r>
    <x v="769"/>
    <x v="7"/>
    <x v="1"/>
    <n v="75.62"/>
    <n v="10"/>
    <n v="5.35"/>
    <n v="53.56"/>
    <n v="96.82"/>
    <n v="13"/>
    <n v="0"/>
    <n v="79.515999999999991"/>
    <n v="60.948000000000008"/>
    <n v="72.494"/>
    <x v="2"/>
    <x v="2"/>
    <x v="2"/>
  </r>
  <r>
    <x v="770"/>
    <x v="2"/>
    <x v="0"/>
    <n v="55.21"/>
    <n v="0"/>
    <n v="5.66"/>
    <n v="61.83"/>
    <n v="14.79"/>
    <n v="10"/>
    <n v="4"/>
    <n v="33.605999999999995"/>
    <n v="49.404000000000003"/>
    <n v="39.984799999999993"/>
    <x v="0"/>
    <x v="1"/>
    <x v="1"/>
  </r>
  <r>
    <x v="771"/>
    <x v="2"/>
    <x v="0"/>
    <n v="69.23"/>
    <n v="6"/>
    <n v="7.51"/>
    <n v="68.069999999999993"/>
    <n v="94.09"/>
    <n v="9"/>
    <n v="2"/>
    <n v="83.682000000000002"/>
    <n v="62.712000000000003"/>
    <n v="73.522800000000004"/>
    <x v="2"/>
    <x v="0"/>
    <x v="1"/>
  </r>
  <r>
    <x v="772"/>
    <x v="7"/>
    <x v="0"/>
    <n v="74.38"/>
    <n v="10"/>
    <n v="1.32"/>
    <n v="66.67"/>
    <n v="18.29"/>
    <n v="2"/>
    <n v="4"/>
    <n v="37.642000000000003"/>
    <n v="68.391999999999996"/>
    <n v="44.102800000000002"/>
    <x v="0"/>
    <x v="0"/>
    <x v="2"/>
  </r>
  <r>
    <x v="773"/>
    <x v="1"/>
    <x v="1"/>
    <n v="82.61"/>
    <n v="2"/>
    <n v="5.13"/>
    <n v="51.1"/>
    <n v="56.74"/>
    <n v="16"/>
    <n v="3"/>
    <n v="54.483999999999995"/>
    <n v="59.304000000000002"/>
    <n v="58.4816"/>
    <x v="1"/>
    <x v="0"/>
    <x v="1"/>
  </r>
  <r>
    <x v="774"/>
    <x v="5"/>
    <x v="0"/>
    <n v="97.53"/>
    <n v="9"/>
    <n v="1.94"/>
    <n v="42.88"/>
    <n v="37.700000000000003"/>
    <n v="14"/>
    <n v="5"/>
    <n v="39.772000000000006"/>
    <n v="80.891999999999996"/>
    <n v="55.130800000000001"/>
    <x v="1"/>
    <x v="0"/>
    <x v="2"/>
  </r>
  <r>
    <x v="775"/>
    <x v="2"/>
    <x v="1"/>
    <n v="80.03"/>
    <n v="1"/>
    <n v="0.93"/>
    <n v="5.38"/>
    <n v="96.49"/>
    <n v="8"/>
    <n v="4"/>
    <n v="60.045999999999992"/>
    <n v="51.872"/>
    <n v="55.589199999999991"/>
    <x v="1"/>
    <x v="2"/>
    <x v="1"/>
  </r>
  <r>
    <x v="776"/>
    <x v="7"/>
    <x v="1"/>
    <n v="87.18"/>
    <n v="8"/>
    <n v="4.0999999999999996"/>
    <n v="2.21"/>
    <n v="27.35"/>
    <n v="9"/>
    <n v="4"/>
    <n v="17.294"/>
    <n v="75.072000000000003"/>
    <n v="37.397999999999996"/>
    <x v="0"/>
    <x v="0"/>
    <x v="2"/>
  </r>
  <r>
    <x v="777"/>
    <x v="4"/>
    <x v="2"/>
    <n v="75.31"/>
    <n v="2"/>
    <n v="1.63"/>
    <n v="35.799999999999997"/>
    <n v="39.97"/>
    <n v="7"/>
    <n v="5"/>
    <n v="38.302"/>
    <n v="57.384"/>
    <n v="43.696399999999997"/>
    <x v="0"/>
    <x v="0"/>
    <x v="0"/>
  </r>
  <r>
    <x v="778"/>
    <x v="4"/>
    <x v="1"/>
    <n v="81.709999999999994"/>
    <n v="1"/>
    <n v="2.2200000000000002"/>
    <n v="33.369999999999997"/>
    <n v="98.29"/>
    <n v="12"/>
    <n v="3"/>
    <n v="72.322000000000003"/>
    <n v="51.123999999999995"/>
    <n v="64.730400000000003"/>
    <x v="1"/>
    <x v="2"/>
    <x v="0"/>
  </r>
  <r>
    <x v="779"/>
    <x v="3"/>
    <x v="0"/>
    <n v="53.55"/>
    <n v="7"/>
    <n v="3.18"/>
    <n v="38.770000000000003"/>
    <n v="53.65"/>
    <n v="17"/>
    <n v="1"/>
    <n v="47.698"/>
    <n v="45.78"/>
    <n v="50.852800000000002"/>
    <x v="0"/>
    <x v="1"/>
    <x v="2"/>
  </r>
  <r>
    <x v="780"/>
    <x v="7"/>
    <x v="0"/>
    <n v="62.72"/>
    <n v="9"/>
    <n v="2.59"/>
    <n v="13.84"/>
    <n v="50.26"/>
    <n v="4"/>
    <n v="4"/>
    <n v="35.692"/>
    <n v="64.268000000000001"/>
    <n v="42.695599999999999"/>
    <x v="0"/>
    <x v="0"/>
    <x v="2"/>
  </r>
  <r>
    <x v="781"/>
    <x v="3"/>
    <x v="0"/>
    <n v="68.09"/>
    <n v="5"/>
    <n v="0.88"/>
    <n v="73.819999999999993"/>
    <n v="25.78"/>
    <n v="5"/>
    <n v="0"/>
    <n v="44.995999999999995"/>
    <n v="38.996000000000002"/>
    <n v="41.196399999999997"/>
    <x v="0"/>
    <x v="0"/>
    <x v="2"/>
  </r>
  <r>
    <x v="782"/>
    <x v="4"/>
    <x v="0"/>
    <n v="73.62"/>
    <n v="5"/>
    <n v="0.9"/>
    <n v="85.7"/>
    <n v="70.14"/>
    <n v="16"/>
    <n v="4"/>
    <n v="76.364000000000004"/>
    <n v="57.248000000000005"/>
    <n v="70.992800000000003"/>
    <x v="2"/>
    <x v="2"/>
    <x v="0"/>
  </r>
  <r>
    <x v="783"/>
    <x v="1"/>
    <x v="1"/>
    <n v="52.28"/>
    <n v="9"/>
    <n v="1.93"/>
    <n v="93.87"/>
    <n v="1.44"/>
    <n v="10"/>
    <n v="0"/>
    <n v="38.411999999999999"/>
    <n v="42.772000000000006"/>
    <n v="40.878799999999998"/>
    <x v="0"/>
    <x v="1"/>
    <x v="1"/>
  </r>
  <r>
    <x v="784"/>
    <x v="5"/>
    <x v="1"/>
    <n v="57"/>
    <n v="10"/>
    <n v="0.51"/>
    <n v="49.24"/>
    <n v="4.95"/>
    <n v="19"/>
    <n v="3"/>
    <n v="22.666"/>
    <n v="55.82"/>
    <n v="39.845599999999997"/>
    <x v="0"/>
    <x v="1"/>
    <x v="2"/>
  </r>
  <r>
    <x v="785"/>
    <x v="7"/>
    <x v="0"/>
    <n v="63.84"/>
    <n v="6"/>
    <n v="6.26"/>
    <n v="70.09"/>
    <n v="59.94"/>
    <n v="15"/>
    <n v="4"/>
    <n v="64"/>
    <n v="66.055999999999997"/>
    <n v="65.716799999999992"/>
    <x v="1"/>
    <x v="0"/>
    <x v="2"/>
  </r>
  <r>
    <x v="786"/>
    <x v="0"/>
    <x v="1"/>
    <n v="98.58"/>
    <n v="6"/>
    <n v="2.87"/>
    <n v="85.56"/>
    <n v="34.17"/>
    <n v="8"/>
    <n v="3"/>
    <n v="54.725999999999999"/>
    <n v="69.171999999999997"/>
    <n v="57.587199999999996"/>
    <x v="1"/>
    <x v="0"/>
    <x v="0"/>
  </r>
  <r>
    <x v="787"/>
    <x v="4"/>
    <x v="1"/>
    <n v="66.569999999999993"/>
    <n v="10"/>
    <n v="2.8"/>
    <n v="41.83"/>
    <n v="95.33"/>
    <n v="1"/>
    <n v="3"/>
    <n v="73.930000000000007"/>
    <n v="64.228000000000009"/>
    <n v="64.126400000000004"/>
    <x v="1"/>
    <x v="0"/>
    <x v="0"/>
  </r>
  <r>
    <x v="788"/>
    <x v="4"/>
    <x v="1"/>
    <n v="74.099999999999994"/>
    <n v="5"/>
    <n v="3.32"/>
    <n v="30.94"/>
    <n v="90.32"/>
    <n v="4"/>
    <n v="1"/>
    <n v="66.567999999999998"/>
    <n v="50.28"/>
    <n v="57.024799999999999"/>
    <x v="1"/>
    <x v="2"/>
    <x v="0"/>
  </r>
  <r>
    <x v="789"/>
    <x v="0"/>
    <x v="1"/>
    <n v="59.8"/>
    <n v="3"/>
    <n v="6.63"/>
    <n v="93.67"/>
    <n v="71.37"/>
    <n v="0"/>
    <n v="4"/>
    <n v="80.290000000000006"/>
    <n v="59.18"/>
    <n v="65.927999999999997"/>
    <x v="1"/>
    <x v="0"/>
    <x v="0"/>
  </r>
  <r>
    <x v="790"/>
    <x v="6"/>
    <x v="1"/>
    <n v="80.540000000000006"/>
    <n v="10"/>
    <n v="8.7100000000000009"/>
    <n v="51.57"/>
    <n v="81.81"/>
    <n v="3"/>
    <n v="0"/>
    <n v="69.713999999999999"/>
    <n v="69.635999999999996"/>
    <n v="64.219200000000001"/>
    <x v="1"/>
    <x v="2"/>
    <x v="1"/>
  </r>
  <r>
    <x v="791"/>
    <x v="4"/>
    <x v="1"/>
    <n v="64.03"/>
    <n v="8"/>
    <n v="7.59"/>
    <n v="49.73"/>
    <n v="66.73"/>
    <n v="3"/>
    <n v="0"/>
    <n v="59.930000000000007"/>
    <n v="56.792000000000002"/>
    <n v="54.49560000000001"/>
    <x v="0"/>
    <x v="0"/>
    <x v="0"/>
  </r>
  <r>
    <x v="792"/>
    <x v="2"/>
    <x v="0"/>
    <n v="60.35"/>
    <n v="5"/>
    <n v="7.28"/>
    <n v="17.84"/>
    <n v="12.56"/>
    <n v="2"/>
    <n v="4"/>
    <n v="14.672000000000001"/>
    <n v="64.7"/>
    <n v="29.213200000000001"/>
    <x v="0"/>
    <x v="0"/>
    <x v="1"/>
  </r>
  <r>
    <x v="793"/>
    <x v="1"/>
    <x v="0"/>
    <n v="75.83"/>
    <n v="3"/>
    <n v="4.84"/>
    <n v="10.82"/>
    <n v="76.55"/>
    <n v="8"/>
    <n v="5"/>
    <n v="50.258000000000003"/>
    <n v="66.012"/>
    <n v="53.958399999999997"/>
    <x v="0"/>
    <x v="0"/>
    <x v="1"/>
  </r>
  <r>
    <x v="794"/>
    <x v="7"/>
    <x v="0"/>
    <n v="50.28"/>
    <n v="2"/>
    <n v="6.94"/>
    <n v="84.21"/>
    <n v="21.02"/>
    <n v="11"/>
    <n v="1"/>
    <n v="46.295999999999999"/>
    <n v="41.992000000000004"/>
    <n v="45.8752"/>
    <x v="0"/>
    <x v="1"/>
    <x v="2"/>
  </r>
  <r>
    <x v="795"/>
    <x v="0"/>
    <x v="1"/>
    <n v="50.38"/>
    <n v="3"/>
    <n v="5.53"/>
    <n v="61.41"/>
    <n v="32.340000000000003"/>
    <n v="9"/>
    <n v="1"/>
    <n v="43.968000000000004"/>
    <n v="41.212000000000003"/>
    <n v="43.244399999999999"/>
    <x v="0"/>
    <x v="1"/>
    <x v="0"/>
  </r>
  <r>
    <x v="796"/>
    <x v="2"/>
    <x v="1"/>
    <n v="60.95"/>
    <n v="2"/>
    <n v="2.16"/>
    <n v="32.58"/>
    <n v="81.92"/>
    <n v="1"/>
    <n v="1"/>
    <n v="62.183999999999997"/>
    <n v="36.700000000000003"/>
    <n v="48.820399999999992"/>
    <x v="0"/>
    <x v="0"/>
    <x v="1"/>
  </r>
  <r>
    <x v="797"/>
    <x v="0"/>
    <x v="1"/>
    <n v="51.84"/>
    <n v="1"/>
    <n v="2.09"/>
    <n v="19.170000000000002"/>
    <n v="53.65"/>
    <n v="10"/>
    <n v="0"/>
    <n v="39.857999999999997"/>
    <n v="26.916000000000004"/>
    <n v="36.989599999999996"/>
    <x v="0"/>
    <x v="1"/>
    <x v="0"/>
  </r>
  <r>
    <x v="798"/>
    <x v="7"/>
    <x v="0"/>
    <n v="55.4"/>
    <n v="4"/>
    <n v="2.96"/>
    <n v="55.55"/>
    <n v="85.99"/>
    <n v="9"/>
    <n v="3"/>
    <n v="73.813999999999993"/>
    <n v="48.08"/>
    <n v="63.212399999999995"/>
    <x v="1"/>
    <x v="0"/>
    <x v="2"/>
  </r>
  <r>
    <x v="799"/>
    <x v="3"/>
    <x v="0"/>
    <n v="66.94"/>
    <n v="1"/>
    <n v="9.11"/>
    <n v="58.39"/>
    <n v="21.3"/>
    <n v="5"/>
    <n v="5"/>
    <n v="36.136000000000003"/>
    <n v="66.995999999999995"/>
    <n v="44.2804"/>
    <x v="0"/>
    <x v="0"/>
    <x v="2"/>
  </r>
  <r>
    <x v="800"/>
    <x v="7"/>
    <x v="1"/>
    <n v="90.13"/>
    <n v="5"/>
    <n v="5.47"/>
    <n v="20.7"/>
    <n v="60.78"/>
    <n v="17"/>
    <n v="1"/>
    <n v="44.747999999999998"/>
    <n v="60.991999999999997"/>
    <n v="53.6464"/>
    <x v="0"/>
    <x v="0"/>
    <x v="2"/>
  </r>
  <r>
    <x v="801"/>
    <x v="6"/>
    <x v="2"/>
    <n v="78.599999999999994"/>
    <n v="2"/>
    <n v="7.34"/>
    <n v="85.14"/>
    <n v="8.3800000000000008"/>
    <n v="1"/>
    <n v="0"/>
    <n v="39.084000000000003"/>
    <n v="50.12"/>
    <n v="38.986400000000003"/>
    <x v="0"/>
    <x v="0"/>
    <x v="1"/>
  </r>
  <r>
    <x v="802"/>
    <x v="7"/>
    <x v="1"/>
    <n v="75.63"/>
    <n v="5"/>
    <n v="3.47"/>
    <n v="8.43"/>
    <n v="64.31"/>
    <n v="1"/>
    <n v="0"/>
    <n v="41.957999999999998"/>
    <n v="47.191999999999993"/>
    <n v="39.832399999999993"/>
    <x v="0"/>
    <x v="0"/>
    <x v="2"/>
  </r>
  <r>
    <x v="803"/>
    <x v="7"/>
    <x v="0"/>
    <n v="64.67"/>
    <n v="10"/>
    <n v="4.08"/>
    <n v="35.61"/>
    <n v="76.25"/>
    <n v="9"/>
    <n v="3"/>
    <n v="59.994"/>
    <n v="66.028000000000006"/>
    <n v="60.3048"/>
    <x v="1"/>
    <x v="0"/>
    <x v="2"/>
  </r>
  <r>
    <x v="804"/>
    <x v="6"/>
    <x v="0"/>
    <n v="96.59"/>
    <n v="9"/>
    <n v="1.26"/>
    <n v="68.040000000000006"/>
    <n v="58.49"/>
    <n v="15"/>
    <n v="4"/>
    <n v="62.31"/>
    <n v="75.156000000000006"/>
    <n v="67.4328"/>
    <x v="1"/>
    <x v="2"/>
    <x v="1"/>
  </r>
  <r>
    <x v="805"/>
    <x v="1"/>
    <x v="0"/>
    <n v="69.849999999999994"/>
    <n v="8"/>
    <n v="1.71"/>
    <n v="27.41"/>
    <n v="26.62"/>
    <n v="11"/>
    <n v="4"/>
    <n v="26.936"/>
    <n v="63.36"/>
    <n v="40.669600000000003"/>
    <x v="0"/>
    <x v="0"/>
    <x v="1"/>
  </r>
  <r>
    <x v="806"/>
    <x v="4"/>
    <x v="0"/>
    <n v="54.35"/>
    <n v="0"/>
    <n v="8.27"/>
    <n v="82.77"/>
    <n v="3.13"/>
    <n v="0"/>
    <n v="1"/>
    <n v="34.985999999999997"/>
    <n v="42.28"/>
    <n v="33.675599999999996"/>
    <x v="0"/>
    <x v="1"/>
    <x v="0"/>
  </r>
  <r>
    <x v="807"/>
    <x v="7"/>
    <x v="0"/>
    <n v="80.849999999999994"/>
    <n v="5"/>
    <n v="5.85"/>
    <n v="73.989999999999995"/>
    <n v="11.94"/>
    <n v="7"/>
    <n v="1"/>
    <n v="36.76"/>
    <n v="58.039999999999992"/>
    <n v="42.967999999999989"/>
    <x v="0"/>
    <x v="0"/>
    <x v="2"/>
  </r>
  <r>
    <x v="808"/>
    <x v="6"/>
    <x v="1"/>
    <n v="55.69"/>
    <n v="8"/>
    <n v="3.38"/>
    <n v="78.900000000000006"/>
    <n v="62.23"/>
    <n v="15"/>
    <n v="5"/>
    <n v="68.897999999999996"/>
    <n v="65.036000000000001"/>
    <n v="68.349599999999995"/>
    <x v="1"/>
    <x v="0"/>
    <x v="1"/>
  </r>
  <r>
    <x v="809"/>
    <x v="2"/>
    <x v="0"/>
    <n v="67.260000000000005"/>
    <n v="10"/>
    <n v="8.0299999999999994"/>
    <n v="11.91"/>
    <n v="93.44"/>
    <n v="17"/>
    <n v="3"/>
    <n v="60.828000000000003"/>
    <n v="74.963999999999999"/>
    <n v="67.486000000000004"/>
    <x v="1"/>
    <x v="0"/>
    <x v="1"/>
  </r>
  <r>
    <x v="810"/>
    <x v="3"/>
    <x v="1"/>
    <n v="75.37"/>
    <n v="3"/>
    <n v="2.4700000000000002"/>
    <n v="14.05"/>
    <n v="20.65"/>
    <n v="12"/>
    <n v="1"/>
    <n v="18.009999999999998"/>
    <n v="45.088000000000001"/>
    <n v="30.3324"/>
    <x v="0"/>
    <x v="0"/>
    <x v="2"/>
  </r>
  <r>
    <x v="811"/>
    <x v="3"/>
    <x v="0"/>
    <n v="93.71"/>
    <n v="10"/>
    <n v="9.76"/>
    <n v="28.65"/>
    <n v="73.5"/>
    <n v="14"/>
    <n v="3"/>
    <n v="55.56"/>
    <n v="89.004000000000005"/>
    <n v="67.037199999999999"/>
    <x v="1"/>
    <x v="0"/>
    <x v="2"/>
  </r>
  <r>
    <x v="812"/>
    <x v="7"/>
    <x v="0"/>
    <n v="74.680000000000007"/>
    <n v="1"/>
    <n v="3.45"/>
    <n v="51.81"/>
    <n v="86.65"/>
    <n v="11"/>
    <n v="0"/>
    <n v="72.713999999999999"/>
    <n v="38.772000000000006"/>
    <n v="60.76"/>
    <x v="1"/>
    <x v="2"/>
    <x v="2"/>
  </r>
  <r>
    <x v="813"/>
    <x v="1"/>
    <x v="0"/>
    <n v="85.11"/>
    <n v="3"/>
    <n v="3.37"/>
    <n v="74.8"/>
    <n v="52.09"/>
    <n v="7"/>
    <n v="1"/>
    <n v="61.174000000000007"/>
    <n v="50.784000000000006"/>
    <n v="55.439599999999999"/>
    <x v="1"/>
    <x v="2"/>
    <x v="1"/>
  </r>
  <r>
    <x v="814"/>
    <x v="1"/>
    <x v="0"/>
    <n v="99.64"/>
    <n v="0"/>
    <n v="3.12"/>
    <n v="83.65"/>
    <n v="66.930000000000007"/>
    <n v="9"/>
    <n v="0"/>
    <n v="73.617999999999995"/>
    <n v="46.096000000000004"/>
    <n v="62.499599999999994"/>
    <x v="1"/>
    <x v="2"/>
    <x v="1"/>
  </r>
  <r>
    <x v="815"/>
    <x v="2"/>
    <x v="0"/>
    <n v="56.57"/>
    <n v="2"/>
    <n v="1.22"/>
    <n v="70.430000000000007"/>
    <n v="81.5"/>
    <n v="13"/>
    <n v="2"/>
    <n v="77.072000000000003"/>
    <n v="37.067999999999998"/>
    <n v="63.863599999999998"/>
    <x v="1"/>
    <x v="0"/>
    <x v="1"/>
  </r>
  <r>
    <x v="816"/>
    <x v="7"/>
    <x v="0"/>
    <n v="63.74"/>
    <n v="9"/>
    <n v="1.1100000000000001"/>
    <n v="92.86"/>
    <n v="26.07"/>
    <n v="4"/>
    <n v="3"/>
    <n v="52.786000000000001"/>
    <n v="57.716000000000001"/>
    <n v="50.986399999999996"/>
    <x v="0"/>
    <x v="0"/>
    <x v="2"/>
  </r>
  <r>
    <x v="817"/>
    <x v="3"/>
    <x v="0"/>
    <n v="69.73"/>
    <n v="8"/>
    <n v="6.48"/>
    <n v="73.87"/>
    <n v="29.69"/>
    <n v="17"/>
    <n v="2"/>
    <n v="47.362000000000002"/>
    <n v="64.852000000000004"/>
    <n v="56.372799999999998"/>
    <x v="1"/>
    <x v="0"/>
    <x v="2"/>
  </r>
  <r>
    <x v="818"/>
    <x v="1"/>
    <x v="1"/>
    <n v="71.09"/>
    <n v="9"/>
    <n v="8.75"/>
    <n v="30.63"/>
    <n v="0.06"/>
    <n v="18"/>
    <n v="1"/>
    <n v="12.288"/>
    <n v="67.936000000000007"/>
    <n v="36.753599999999999"/>
    <x v="0"/>
    <x v="0"/>
    <x v="1"/>
  </r>
  <r>
    <x v="819"/>
    <x v="7"/>
    <x v="1"/>
    <n v="70.55"/>
    <n v="4"/>
    <n v="7.91"/>
    <n v="26.51"/>
    <n v="96.31"/>
    <n v="14"/>
    <n v="0"/>
    <n v="68.39"/>
    <n v="52.04"/>
    <n v="63.646000000000001"/>
    <x v="1"/>
    <x v="2"/>
    <x v="2"/>
  </r>
  <r>
    <x v="820"/>
    <x v="0"/>
    <x v="1"/>
    <n v="95.38"/>
    <n v="10"/>
    <n v="1.41"/>
    <n v="69.62"/>
    <n v="91.75"/>
    <n v="5"/>
    <n v="1"/>
    <n v="82.897999999999996"/>
    <n v="64.972000000000008"/>
    <n v="71.730400000000003"/>
    <x v="2"/>
    <x v="2"/>
    <x v="0"/>
  </r>
  <r>
    <x v="821"/>
    <x v="1"/>
    <x v="1"/>
    <n v="85.7"/>
    <n v="5"/>
    <n v="5.46"/>
    <n v="19.29"/>
    <n v="76.459999999999994"/>
    <n v="10"/>
    <n v="2"/>
    <n v="53.591999999999999"/>
    <n v="63.2"/>
    <n v="56.115200000000002"/>
    <x v="1"/>
    <x v="0"/>
    <x v="1"/>
  </r>
  <r>
    <x v="822"/>
    <x v="6"/>
    <x v="0"/>
    <n v="80.400000000000006"/>
    <n v="2"/>
    <n v="1.06"/>
    <n v="9.27"/>
    <n v="7.91"/>
    <n v="10"/>
    <n v="1"/>
    <n v="8.4540000000000006"/>
    <n v="42.28"/>
    <n v="22.756399999999999"/>
    <x v="0"/>
    <x v="0"/>
    <x v="1"/>
  </r>
  <r>
    <x v="823"/>
    <x v="0"/>
    <x v="1"/>
    <n v="65.47"/>
    <n v="4"/>
    <n v="0.45"/>
    <n v="53.22"/>
    <n v="44.75"/>
    <n v="19"/>
    <n v="5"/>
    <n v="48.137999999999998"/>
    <n v="55.088000000000001"/>
    <n v="54.909199999999998"/>
    <x v="0"/>
    <x v="0"/>
    <x v="0"/>
  </r>
  <r>
    <x v="824"/>
    <x v="4"/>
    <x v="2"/>
    <n v="91.19"/>
    <n v="10"/>
    <n v="6.56"/>
    <n v="82.16"/>
    <n v="10.19"/>
    <n v="19"/>
    <n v="4"/>
    <n v="38.977999999999994"/>
    <n v="85.596000000000004"/>
    <n v="58.565599999999996"/>
    <x v="1"/>
    <x v="0"/>
    <x v="0"/>
  </r>
  <r>
    <x v="825"/>
    <x v="1"/>
    <x v="1"/>
    <n v="97.75"/>
    <n v="7"/>
    <n v="5.35"/>
    <n v="10.14"/>
    <n v="1.59"/>
    <n v="17"/>
    <n v="2"/>
    <n v="5.01"/>
    <n v="71.8"/>
    <n v="33.045999999999999"/>
    <x v="0"/>
    <x v="0"/>
    <x v="1"/>
  </r>
  <r>
    <x v="826"/>
    <x v="3"/>
    <x v="1"/>
    <n v="91.06"/>
    <n v="5"/>
    <n v="0.82"/>
    <n v="79.19"/>
    <n v="61.62"/>
    <n v="17"/>
    <n v="1"/>
    <n v="68.647999999999996"/>
    <n v="52.064"/>
    <n v="65.307999999999993"/>
    <x v="1"/>
    <x v="2"/>
    <x v="2"/>
  </r>
  <r>
    <x v="827"/>
    <x v="5"/>
    <x v="0"/>
    <n v="50.08"/>
    <n v="3"/>
    <n v="0.35"/>
    <n v="81.16"/>
    <n v="96.08"/>
    <n v="9"/>
    <n v="0"/>
    <n v="90.111999999999995"/>
    <n v="26.731999999999999"/>
    <n v="66.586799999999982"/>
    <x v="1"/>
    <x v="0"/>
    <x v="2"/>
  </r>
  <r>
    <x v="828"/>
    <x v="0"/>
    <x v="0"/>
    <n v="81.819999999999993"/>
    <n v="1"/>
    <n v="9.9"/>
    <n v="48.23"/>
    <n v="90.29"/>
    <n v="1"/>
    <n v="1"/>
    <n v="73.466000000000008"/>
    <n v="58.528000000000006"/>
    <n v="62.138000000000005"/>
    <x v="1"/>
    <x v="2"/>
    <x v="0"/>
  </r>
  <r>
    <x v="829"/>
    <x v="4"/>
    <x v="0"/>
    <n v="52.56"/>
    <n v="8"/>
    <n v="0.3"/>
    <n v="5.73"/>
    <n v="69.680000000000007"/>
    <n v="8"/>
    <n v="0"/>
    <n v="44.1"/>
    <n v="37.624000000000002"/>
    <n v="41.747199999999999"/>
    <x v="0"/>
    <x v="1"/>
    <x v="0"/>
  </r>
  <r>
    <x v="830"/>
    <x v="2"/>
    <x v="0"/>
    <n v="62.88"/>
    <n v="0"/>
    <n v="4.45"/>
    <n v="17.46"/>
    <n v="9.66"/>
    <n v="13"/>
    <n v="4"/>
    <n v="12.780000000000001"/>
    <n v="50.052"/>
    <n v="29.183599999999998"/>
    <x v="0"/>
    <x v="0"/>
    <x v="1"/>
  </r>
  <r>
    <x v="831"/>
    <x v="2"/>
    <x v="0"/>
    <n v="52.98"/>
    <n v="0"/>
    <n v="5.05"/>
    <n v="70.739999999999995"/>
    <n v="27.42"/>
    <n v="18"/>
    <n v="1"/>
    <n v="44.748000000000005"/>
    <n v="35.292000000000002"/>
    <n v="46.436399999999999"/>
    <x v="0"/>
    <x v="1"/>
    <x v="1"/>
  </r>
  <r>
    <x v="832"/>
    <x v="3"/>
    <x v="1"/>
    <n v="80.19"/>
    <n v="3"/>
    <n v="1.17"/>
    <n v="71.180000000000007"/>
    <n v="32.01"/>
    <n v="9"/>
    <n v="4"/>
    <n v="47.678000000000004"/>
    <n v="56.415999999999997"/>
    <n v="50.031599999999997"/>
    <x v="0"/>
    <x v="0"/>
    <x v="2"/>
  </r>
  <r>
    <x v="833"/>
    <x v="1"/>
    <x v="2"/>
    <n v="84.33"/>
    <n v="6"/>
    <n v="1.69"/>
    <n v="89.84"/>
    <n v="76.319999999999993"/>
    <n v="3"/>
    <n v="2"/>
    <n v="81.727999999999994"/>
    <n v="57.112000000000002"/>
    <n v="67.670400000000001"/>
    <x v="1"/>
    <x v="2"/>
    <x v="1"/>
  </r>
  <r>
    <x v="834"/>
    <x v="7"/>
    <x v="2"/>
    <n v="55.72"/>
    <n v="0"/>
    <n v="3.52"/>
    <n v="58.27"/>
    <n v="80.22"/>
    <n v="5"/>
    <n v="0"/>
    <n v="71.44"/>
    <n v="29.327999999999999"/>
    <n v="54.162399999999998"/>
    <x v="0"/>
    <x v="0"/>
    <x v="2"/>
  </r>
  <r>
    <x v="835"/>
    <x v="1"/>
    <x v="0"/>
    <n v="69.19"/>
    <n v="8"/>
    <n v="7.62"/>
    <n v="12.41"/>
    <n v="38.51"/>
    <n v="13"/>
    <n v="5"/>
    <n v="28.07"/>
    <n v="78.915999999999997"/>
    <n v="47.016799999999996"/>
    <x v="0"/>
    <x v="0"/>
    <x v="1"/>
  </r>
  <r>
    <x v="836"/>
    <x v="3"/>
    <x v="1"/>
    <n v="72.81"/>
    <n v="3"/>
    <n v="5.07"/>
    <n v="12.14"/>
    <n v="41.79"/>
    <n v="3"/>
    <n v="2"/>
    <n v="29.93"/>
    <n v="53.264000000000003"/>
    <n v="35.437199999999997"/>
    <x v="0"/>
    <x v="0"/>
    <x v="2"/>
  </r>
  <r>
    <x v="837"/>
    <x v="2"/>
    <x v="0"/>
    <n v="68.45"/>
    <n v="2"/>
    <n v="6.38"/>
    <n v="72.11"/>
    <n v="4.45"/>
    <n v="14"/>
    <n v="0"/>
    <n v="31.514000000000003"/>
    <n v="44.14"/>
    <n v="39.150399999999998"/>
    <x v="0"/>
    <x v="0"/>
    <x v="1"/>
  </r>
  <r>
    <x v="838"/>
    <x v="1"/>
    <x v="1"/>
    <n v="56.05"/>
    <n v="0"/>
    <n v="9.85"/>
    <n v="18.38"/>
    <n v="28.91"/>
    <n v="15"/>
    <n v="4"/>
    <n v="24.698"/>
    <n v="58.120000000000005"/>
    <n v="39.754800000000003"/>
    <x v="0"/>
    <x v="1"/>
    <x v="1"/>
  </r>
  <r>
    <x v="839"/>
    <x v="2"/>
    <x v="1"/>
    <n v="70.95"/>
    <n v="9"/>
    <n v="7.68"/>
    <n v="32.840000000000003"/>
    <n v="45.13"/>
    <n v="6"/>
    <n v="3"/>
    <n v="40.213999999999999"/>
    <n v="73.740000000000009"/>
    <n v="49.250399999999999"/>
    <x v="0"/>
    <x v="0"/>
    <x v="1"/>
  </r>
  <r>
    <x v="840"/>
    <x v="0"/>
    <x v="1"/>
    <n v="87.56"/>
    <n v="3"/>
    <n v="4.34"/>
    <n v="48.72"/>
    <n v="11.7"/>
    <n v="16"/>
    <n v="1"/>
    <n v="26.507999999999999"/>
    <n v="53.704000000000001"/>
    <n v="40.015999999999998"/>
    <x v="0"/>
    <x v="0"/>
    <x v="0"/>
  </r>
  <r>
    <x v="841"/>
    <x v="4"/>
    <x v="0"/>
    <n v="53.55"/>
    <n v="8"/>
    <n v="4.46"/>
    <n v="2.48"/>
    <n v="45.33"/>
    <n v="18"/>
    <n v="4"/>
    <n v="28.189999999999998"/>
    <n v="62.34"/>
    <n v="44.616"/>
    <x v="0"/>
    <x v="1"/>
    <x v="0"/>
  </r>
  <r>
    <x v="842"/>
    <x v="7"/>
    <x v="0"/>
    <n v="54.01"/>
    <n v="9"/>
    <n v="6.19"/>
    <n v="24.88"/>
    <n v="85.32"/>
    <n v="18"/>
    <n v="0"/>
    <n v="61.143999999999991"/>
    <n v="51.984000000000002"/>
    <n v="61.28159999999999"/>
    <x v="1"/>
    <x v="0"/>
    <x v="2"/>
  </r>
  <r>
    <x v="843"/>
    <x v="0"/>
    <x v="0"/>
    <n v="67.739999999999995"/>
    <n v="5"/>
    <n v="6.65"/>
    <n v="40.79"/>
    <n v="58.13"/>
    <n v="16"/>
    <n v="0"/>
    <n v="51.194000000000003"/>
    <n v="50.396000000000001"/>
    <n v="53.8352"/>
    <x v="0"/>
    <x v="0"/>
    <x v="0"/>
  </r>
  <r>
    <x v="844"/>
    <x v="2"/>
    <x v="0"/>
    <n v="97.09"/>
    <n v="5"/>
    <n v="5.01"/>
    <n v="27.96"/>
    <n v="7.89"/>
    <n v="5"/>
    <n v="0"/>
    <n v="15.918000000000001"/>
    <n v="58.856000000000009"/>
    <n v="29.707599999999999"/>
    <x v="0"/>
    <x v="0"/>
    <x v="1"/>
  </r>
  <r>
    <x v="845"/>
    <x v="2"/>
    <x v="1"/>
    <n v="83.43"/>
    <n v="0"/>
    <n v="6.45"/>
    <n v="13.64"/>
    <n v="19.170000000000002"/>
    <n v="10"/>
    <n v="0"/>
    <n v="16.958000000000002"/>
    <n v="46.272000000000006"/>
    <n v="29.056400000000004"/>
    <x v="0"/>
    <x v="0"/>
    <x v="1"/>
  </r>
  <r>
    <x v="846"/>
    <x v="5"/>
    <x v="1"/>
    <n v="83.93"/>
    <n v="9"/>
    <n v="0.24"/>
    <n v="72.8"/>
    <n v="47.45"/>
    <n v="15"/>
    <n v="1"/>
    <n v="57.59"/>
    <n v="56.052"/>
    <n v="58.869600000000005"/>
    <x v="1"/>
    <x v="0"/>
    <x v="2"/>
  </r>
  <r>
    <x v="847"/>
    <x v="5"/>
    <x v="1"/>
    <n v="68.099999999999994"/>
    <n v="1"/>
    <n v="4.3"/>
    <n v="81.31"/>
    <n v="36.15"/>
    <n v="7"/>
    <n v="2"/>
    <n v="54.213999999999999"/>
    <n v="45.839999999999996"/>
    <n v="49.7804"/>
    <x v="0"/>
    <x v="0"/>
    <x v="2"/>
  </r>
  <r>
    <x v="848"/>
    <x v="0"/>
    <x v="2"/>
    <n v="79.680000000000007"/>
    <n v="10"/>
    <n v="2.79"/>
    <n v="25.75"/>
    <n v="35.869999999999997"/>
    <n v="10"/>
    <n v="5"/>
    <n v="31.821999999999999"/>
    <n v="77.451999999999998"/>
    <n v="47.328800000000001"/>
    <x v="0"/>
    <x v="0"/>
    <x v="0"/>
  </r>
  <r>
    <x v="849"/>
    <x v="6"/>
    <x v="1"/>
    <n v="50.51"/>
    <n v="5"/>
    <n v="1.29"/>
    <n v="77.44"/>
    <n v="52.93"/>
    <n v="6"/>
    <n v="3"/>
    <n v="62.733999999999995"/>
    <n v="44.783999999999999"/>
    <n v="54.075599999999994"/>
    <x v="0"/>
    <x v="0"/>
    <x v="1"/>
  </r>
  <r>
    <x v="850"/>
    <x v="0"/>
    <x v="0"/>
    <n v="81.8"/>
    <n v="1"/>
    <n v="1"/>
    <n v="38.56"/>
    <n v="58.44"/>
    <n v="18"/>
    <n v="1"/>
    <n v="50.488"/>
    <n v="40.72"/>
    <n v="51.508800000000001"/>
    <x v="0"/>
    <x v="0"/>
    <x v="0"/>
  </r>
  <r>
    <x v="851"/>
    <x v="5"/>
    <x v="0"/>
    <n v="95.66"/>
    <n v="2"/>
    <n v="6.03"/>
    <n v="50.67"/>
    <n v="79.69"/>
    <n v="9"/>
    <n v="0"/>
    <n v="68.081999999999994"/>
    <n v="54.324000000000005"/>
    <n v="61.6464"/>
    <x v="1"/>
    <x v="2"/>
    <x v="2"/>
  </r>
  <r>
    <x v="852"/>
    <x v="2"/>
    <x v="1"/>
    <n v="80.63"/>
    <n v="3"/>
    <n v="5.24"/>
    <n v="85.6"/>
    <n v="34.1"/>
    <n v="8"/>
    <n v="1"/>
    <n v="54.7"/>
    <n v="52.731999999999999"/>
    <n v="52.639600000000002"/>
    <x v="0"/>
    <x v="0"/>
    <x v="1"/>
  </r>
  <r>
    <x v="853"/>
    <x v="3"/>
    <x v="0"/>
    <n v="93.68"/>
    <n v="10"/>
    <n v="2.54"/>
    <n v="75"/>
    <n v="80.55"/>
    <n v="3"/>
    <n v="4"/>
    <n v="78.33"/>
    <n v="78.551999999999992"/>
    <n v="72.063599999999994"/>
    <x v="2"/>
    <x v="2"/>
    <x v="2"/>
  </r>
  <r>
    <x v="854"/>
    <x v="0"/>
    <x v="0"/>
    <n v="86.2"/>
    <n v="4"/>
    <n v="4.71"/>
    <n v="80.510000000000005"/>
    <n v="33.86"/>
    <n v="14"/>
    <n v="5"/>
    <n v="52.519999999999996"/>
    <n v="71.900000000000006"/>
    <n v="60.081999999999994"/>
    <x v="1"/>
    <x v="0"/>
    <x v="0"/>
  </r>
  <r>
    <x v="855"/>
    <x v="2"/>
    <x v="0"/>
    <n v="56.03"/>
    <n v="8"/>
    <n v="4.92"/>
    <n v="13.68"/>
    <n v="5.54"/>
    <n v="12"/>
    <n v="0"/>
    <n v="8.7959999999999994"/>
    <n v="48.25200000000001"/>
    <n v="25.7532"/>
    <x v="0"/>
    <x v="1"/>
    <x v="1"/>
  </r>
  <r>
    <x v="856"/>
    <x v="3"/>
    <x v="2"/>
    <n v="95.12"/>
    <n v="3"/>
    <n v="1.95"/>
    <n v="6.97"/>
    <n v="55.42"/>
    <n v="1"/>
    <n v="3"/>
    <n v="36.040000000000006"/>
    <n v="59.948"/>
    <n v="40.108400000000003"/>
    <x v="0"/>
    <x v="0"/>
    <x v="2"/>
  </r>
  <r>
    <x v="857"/>
    <x v="3"/>
    <x v="1"/>
    <n v="53.32"/>
    <n v="10"/>
    <n v="6.52"/>
    <n v="89.34"/>
    <n v="58.79"/>
    <n v="1"/>
    <n v="0"/>
    <n v="71.010000000000005"/>
    <n v="54.368000000000002"/>
    <n v="59.416400000000003"/>
    <x v="1"/>
    <x v="0"/>
    <x v="2"/>
  </r>
  <r>
    <x v="858"/>
    <x v="5"/>
    <x v="1"/>
    <n v="76.7"/>
    <n v="8"/>
    <n v="7.81"/>
    <n v="38.78"/>
    <n v="93.45"/>
    <n v="15"/>
    <n v="5"/>
    <n v="71.581999999999994"/>
    <n v="82.300000000000011"/>
    <n v="75.139200000000002"/>
    <x v="2"/>
    <x v="2"/>
    <x v="2"/>
  </r>
  <r>
    <x v="859"/>
    <x v="0"/>
    <x v="0"/>
    <n v="57.11"/>
    <n v="10"/>
    <n v="7.91"/>
    <n v="28.79"/>
    <n v="72.61"/>
    <n v="8"/>
    <n v="3"/>
    <n v="55.081999999999994"/>
    <n v="70.664000000000001"/>
    <n v="58.24839999999999"/>
    <x v="1"/>
    <x v="0"/>
    <x v="0"/>
  </r>
  <r>
    <x v="860"/>
    <x v="1"/>
    <x v="2"/>
    <n v="50.59"/>
    <n v="9"/>
    <n v="6.02"/>
    <n v="72.47"/>
    <n v="91.78"/>
    <n v="12"/>
    <n v="5"/>
    <n v="84.055999999999997"/>
    <n v="70.27600000000001"/>
    <n v="77.516400000000004"/>
    <x v="2"/>
    <x v="0"/>
    <x v="1"/>
  </r>
  <r>
    <x v="861"/>
    <x v="7"/>
    <x v="1"/>
    <n v="71.099999999999994"/>
    <n v="2"/>
    <n v="5.12"/>
    <n v="83.64"/>
    <n v="90.83"/>
    <n v="2"/>
    <n v="3"/>
    <n v="87.954000000000008"/>
    <n v="54.68"/>
    <n v="70.176400000000001"/>
    <x v="2"/>
    <x v="2"/>
    <x v="2"/>
  </r>
  <r>
    <x v="862"/>
    <x v="5"/>
    <x v="0"/>
    <n v="64.75"/>
    <n v="7"/>
    <n v="0.61"/>
    <n v="86.25"/>
    <n v="60.46"/>
    <n v="8"/>
    <n v="2"/>
    <n v="70.775999999999996"/>
    <n v="49.120000000000005"/>
    <n v="61.201599999999999"/>
    <x v="1"/>
    <x v="0"/>
    <x v="2"/>
  </r>
  <r>
    <x v="863"/>
    <x v="5"/>
    <x v="0"/>
    <n v="74.3"/>
    <n v="0"/>
    <n v="2.88"/>
    <n v="31.6"/>
    <n v="52.78"/>
    <n v="12"/>
    <n v="2"/>
    <n v="44.308"/>
    <n v="43.48"/>
    <n v="45.628799999999998"/>
    <x v="0"/>
    <x v="0"/>
    <x v="2"/>
  </r>
  <r>
    <x v="864"/>
    <x v="1"/>
    <x v="0"/>
    <n v="78.86"/>
    <n v="10"/>
    <n v="0.93"/>
    <n v="85.22"/>
    <n v="55.74"/>
    <n v="1"/>
    <n v="1"/>
    <n v="67.532000000000011"/>
    <n v="57.403999999999996"/>
    <n v="58.240400000000008"/>
    <x v="1"/>
    <x v="2"/>
    <x v="1"/>
  </r>
  <r>
    <x v="865"/>
    <x v="7"/>
    <x v="1"/>
    <n v="52.19"/>
    <n v="8"/>
    <n v="9.64"/>
    <n v="4.09"/>
    <n v="97.83"/>
    <n v="7"/>
    <n v="1"/>
    <n v="60.333999999999996"/>
    <n v="60.156000000000006"/>
    <n v="57.747199999999992"/>
    <x v="1"/>
    <x v="0"/>
    <x v="2"/>
  </r>
  <r>
    <x v="866"/>
    <x v="2"/>
    <x v="0"/>
    <n v="56.15"/>
    <n v="8"/>
    <n v="1.35"/>
    <n v="4.97"/>
    <n v="77.319999999999993"/>
    <n v="8"/>
    <n v="3"/>
    <n v="48.379999999999995"/>
    <n v="53.160000000000004"/>
    <n v="48.975999999999999"/>
    <x v="0"/>
    <x v="1"/>
    <x v="1"/>
  </r>
  <r>
    <x v="867"/>
    <x v="6"/>
    <x v="2"/>
    <n v="77.930000000000007"/>
    <n v="9"/>
    <n v="1.52"/>
    <n v="62.35"/>
    <n v="10.63"/>
    <n v="15"/>
    <n v="0"/>
    <n v="31.318000000000001"/>
    <n v="52.212000000000003"/>
    <n v="41.9544"/>
    <x v="0"/>
    <x v="0"/>
    <x v="1"/>
  </r>
  <r>
    <x v="868"/>
    <x v="0"/>
    <x v="1"/>
    <n v="67.16"/>
    <n v="1"/>
    <n v="8.9"/>
    <n v="6.31"/>
    <n v="77.84"/>
    <n v="1"/>
    <n v="4"/>
    <n v="49.228000000000002"/>
    <n v="62.664000000000001"/>
    <n v="48.835999999999999"/>
    <x v="0"/>
    <x v="0"/>
    <x v="0"/>
  </r>
  <r>
    <x v="869"/>
    <x v="6"/>
    <x v="1"/>
    <n v="86.46"/>
    <n v="3"/>
    <n v="9.44"/>
    <n v="32.46"/>
    <n v="17.05"/>
    <n v="5"/>
    <n v="4"/>
    <n v="23.214000000000002"/>
    <n v="75.463999999999999"/>
    <n v="39.067599999999999"/>
    <x v="0"/>
    <x v="0"/>
    <x v="1"/>
  </r>
  <r>
    <x v="870"/>
    <x v="2"/>
    <x v="2"/>
    <n v="82.61"/>
    <n v="7"/>
    <n v="7.66"/>
    <n v="67.28"/>
    <n v="44.74"/>
    <n v="7"/>
    <n v="0"/>
    <n v="53.756"/>
    <n v="62.364000000000004"/>
    <n v="54.462800000000001"/>
    <x v="0"/>
    <x v="0"/>
    <x v="1"/>
  </r>
  <r>
    <x v="871"/>
    <x v="4"/>
    <x v="1"/>
    <n v="92.28"/>
    <n v="6"/>
    <n v="0.05"/>
    <n v="33.729999999999997"/>
    <n v="21.05"/>
    <n v="4"/>
    <n v="0"/>
    <n v="26.122"/>
    <n v="49.012"/>
    <n v="32.376800000000003"/>
    <x v="0"/>
    <x v="0"/>
    <x v="0"/>
  </r>
  <r>
    <x v="872"/>
    <x v="5"/>
    <x v="0"/>
    <n v="84.62"/>
    <n v="0"/>
    <n v="0.01"/>
    <n v="17.96"/>
    <n v="68.959999999999994"/>
    <n v="8"/>
    <n v="2"/>
    <n v="48.56"/>
    <n v="41.868000000000009"/>
    <n v="45.696400000000004"/>
    <x v="0"/>
    <x v="0"/>
    <x v="2"/>
  </r>
  <r>
    <x v="873"/>
    <x v="7"/>
    <x v="0"/>
    <n v="71.5"/>
    <n v="4"/>
    <n v="3.78"/>
    <n v="28.14"/>
    <n v="87.73"/>
    <n v="0"/>
    <n v="4"/>
    <n v="63.893999999999998"/>
    <n v="60.160000000000004"/>
    <n v="56.384399999999999"/>
    <x v="1"/>
    <x v="2"/>
    <x v="2"/>
  </r>
  <r>
    <x v="874"/>
    <x v="5"/>
    <x v="1"/>
    <n v="83.65"/>
    <n v="6"/>
    <n v="1.43"/>
    <n v="45.76"/>
    <n v="29.04"/>
    <n v="8"/>
    <n v="3"/>
    <n v="35.727999999999994"/>
    <n v="60.32"/>
    <n v="43.532799999999995"/>
    <x v="0"/>
    <x v="0"/>
    <x v="2"/>
  </r>
  <r>
    <x v="875"/>
    <x v="3"/>
    <x v="0"/>
    <n v="63.77"/>
    <n v="3"/>
    <n v="0.18"/>
    <n v="47.54"/>
    <n v="8.1999999999999993"/>
    <n v="9"/>
    <n v="5"/>
    <n v="23.936"/>
    <n v="51.868000000000002"/>
    <n v="34.421999999999997"/>
    <x v="0"/>
    <x v="0"/>
    <x v="2"/>
  </r>
  <r>
    <x v="876"/>
    <x v="5"/>
    <x v="1"/>
    <n v="65.319999999999993"/>
    <n v="0"/>
    <n v="4.6399999999999997"/>
    <n v="78.3"/>
    <n v="29.85"/>
    <n v="3"/>
    <n v="1"/>
    <n v="49.230000000000004"/>
    <n v="39.408000000000001"/>
    <n v="42.860399999999998"/>
    <x v="0"/>
    <x v="0"/>
    <x v="2"/>
  </r>
  <r>
    <x v="877"/>
    <x v="5"/>
    <x v="0"/>
    <n v="89.45"/>
    <n v="8"/>
    <n v="9.43"/>
    <n v="75.02"/>
    <n v="67.239999999999995"/>
    <n v="2"/>
    <n v="5"/>
    <n v="70.35199999999999"/>
    <n v="90.64"/>
    <n v="70.403199999999998"/>
    <x v="2"/>
    <x v="2"/>
    <x v="2"/>
  </r>
  <r>
    <x v="878"/>
    <x v="2"/>
    <x v="1"/>
    <n v="72.319999999999993"/>
    <n v="4"/>
    <n v="3.24"/>
    <n v="45.68"/>
    <n v="32.880000000000003"/>
    <n v="9"/>
    <n v="2"/>
    <n v="38"/>
    <n v="51.408000000000001"/>
    <n v="42.7224"/>
    <x v="0"/>
    <x v="0"/>
    <x v="1"/>
  </r>
  <r>
    <x v="879"/>
    <x v="2"/>
    <x v="0"/>
    <n v="89.92"/>
    <n v="10"/>
    <n v="6.61"/>
    <n v="84.57"/>
    <n v="27.81"/>
    <n v="14"/>
    <n v="4"/>
    <n v="50.513999999999996"/>
    <n v="85.188000000000002"/>
    <n v="62.864799999999995"/>
    <x v="1"/>
    <x v="0"/>
    <x v="1"/>
  </r>
  <r>
    <x v="880"/>
    <x v="2"/>
    <x v="1"/>
    <n v="91.12"/>
    <n v="1"/>
    <n v="6.52"/>
    <n v="11.42"/>
    <n v="18.440000000000001"/>
    <n v="10"/>
    <n v="0"/>
    <n v="15.632000000000001"/>
    <n v="51.488"/>
    <n v="29.825600000000001"/>
    <x v="0"/>
    <x v="0"/>
    <x v="1"/>
  </r>
  <r>
    <x v="881"/>
    <x v="6"/>
    <x v="1"/>
    <n v="92.88"/>
    <n v="7"/>
    <n v="2.5099999999999998"/>
    <n v="25.54"/>
    <n v="49.75"/>
    <n v="13"/>
    <n v="4"/>
    <n v="40.066000000000003"/>
    <n v="72.171999999999997"/>
    <n v="52.191199999999995"/>
    <x v="0"/>
    <x v="0"/>
    <x v="1"/>
  </r>
  <r>
    <x v="882"/>
    <x v="3"/>
    <x v="2"/>
    <n v="95.83"/>
    <n v="10"/>
    <n v="6.5"/>
    <n v="82.8"/>
    <n v="27.59"/>
    <n v="5"/>
    <n v="3"/>
    <n v="49.673999999999992"/>
    <n v="83.331999999999994"/>
    <n v="57.303999999999988"/>
    <x v="1"/>
    <x v="0"/>
    <x v="2"/>
  </r>
  <r>
    <x v="883"/>
    <x v="4"/>
    <x v="1"/>
    <n v="71.55"/>
    <n v="1"/>
    <n v="2.12"/>
    <n v="37.799999999999997"/>
    <n v="73.099999999999994"/>
    <n v="11"/>
    <n v="2"/>
    <n v="58.97999999999999"/>
    <n v="42.86"/>
    <n v="53.745999999999988"/>
    <x v="0"/>
    <x v="0"/>
    <x v="0"/>
  </r>
  <r>
    <x v="884"/>
    <x v="4"/>
    <x v="0"/>
    <n v="65.94"/>
    <n v="2"/>
    <n v="1.22"/>
    <n v="98.12"/>
    <n v="7.66"/>
    <n v="12"/>
    <n v="0"/>
    <n v="43.844000000000008"/>
    <n v="32.816000000000003"/>
    <n v="42.151200000000003"/>
    <x v="0"/>
    <x v="0"/>
    <x v="0"/>
  </r>
  <r>
    <x v="885"/>
    <x v="2"/>
    <x v="1"/>
    <n v="79.11"/>
    <n v="9"/>
    <n v="7.01"/>
    <n v="46.63"/>
    <n v="66.400000000000006"/>
    <n v="16"/>
    <n v="5"/>
    <n v="58.492000000000004"/>
    <n v="83.664000000000001"/>
    <n v="68.194400000000002"/>
    <x v="1"/>
    <x v="0"/>
    <x v="1"/>
  </r>
  <r>
    <x v="886"/>
    <x v="7"/>
    <x v="0"/>
    <n v="68.56"/>
    <n v="0"/>
    <n v="1.1299999999999999"/>
    <n v="79.19"/>
    <n v="23.76"/>
    <n v="15"/>
    <n v="3"/>
    <n v="45.932000000000002"/>
    <n v="41.684000000000005"/>
    <n v="47.564399999999999"/>
    <x v="0"/>
    <x v="0"/>
    <x v="2"/>
  </r>
  <r>
    <x v="887"/>
    <x v="6"/>
    <x v="1"/>
    <n v="80.05"/>
    <n v="10"/>
    <n v="9.9700000000000006"/>
    <n v="40.229999999999997"/>
    <n v="48.93"/>
    <n v="2"/>
    <n v="5"/>
    <n v="45.449999999999996"/>
    <n v="91.960000000000008"/>
    <n v="55.857999999999997"/>
    <x v="1"/>
    <x v="0"/>
    <x v="1"/>
  </r>
  <r>
    <x v="888"/>
    <x v="1"/>
    <x v="2"/>
    <n v="85.28"/>
    <n v="1"/>
    <n v="1.83"/>
    <n v="42.5"/>
    <n v="28.61"/>
    <n v="1"/>
    <n v="1"/>
    <n v="34.165999999999997"/>
    <n v="43.772000000000006"/>
    <n v="34.1312"/>
    <x v="0"/>
    <x v="0"/>
    <x v="1"/>
  </r>
  <r>
    <x v="889"/>
    <x v="7"/>
    <x v="0"/>
    <n v="84.42"/>
    <n v="6"/>
    <n v="5.94"/>
    <n v="38.29"/>
    <n v="72.28"/>
    <n v="10"/>
    <n v="2"/>
    <n v="58.684000000000005"/>
    <n v="65.647999999999996"/>
    <n v="59.904799999999994"/>
    <x v="1"/>
    <x v="0"/>
    <x v="2"/>
  </r>
  <r>
    <x v="890"/>
    <x v="0"/>
    <x v="1"/>
    <n v="68.73"/>
    <n v="9"/>
    <n v="4.1100000000000003"/>
    <n v="71.91"/>
    <n v="94.53"/>
    <n v="8"/>
    <n v="3"/>
    <n v="85.481999999999999"/>
    <n v="65.712000000000003"/>
    <n v="75.002800000000008"/>
    <x v="2"/>
    <x v="0"/>
    <x v="0"/>
  </r>
  <r>
    <x v="891"/>
    <x v="0"/>
    <x v="1"/>
    <n v="58.34"/>
    <n v="1"/>
    <n v="1.26"/>
    <n v="54.75"/>
    <n v="91.71"/>
    <n v="2"/>
    <n v="3"/>
    <n v="76.926000000000002"/>
    <n v="39.856000000000002"/>
    <n v="59.112400000000001"/>
    <x v="1"/>
    <x v="0"/>
    <x v="0"/>
  </r>
  <r>
    <x v="892"/>
    <x v="7"/>
    <x v="1"/>
    <n v="71.53"/>
    <n v="5"/>
    <n v="0.28000000000000003"/>
    <n v="94.38"/>
    <n v="58.34"/>
    <n v="17"/>
    <n v="5"/>
    <n v="72.756"/>
    <n v="59.172000000000004"/>
    <n v="69.905199999999994"/>
    <x v="1"/>
    <x v="2"/>
    <x v="2"/>
  </r>
  <r>
    <x v="893"/>
    <x v="2"/>
    <x v="0"/>
    <n v="57.13"/>
    <n v="2"/>
    <n v="6.23"/>
    <n v="25.09"/>
    <n v="46.26"/>
    <n v="19"/>
    <n v="0"/>
    <n v="37.792000000000002"/>
    <n v="39.312000000000005"/>
    <n v="43.968800000000002"/>
    <x v="0"/>
    <x v="1"/>
    <x v="1"/>
  </r>
  <r>
    <x v="894"/>
    <x v="1"/>
    <x v="1"/>
    <n v="94.5"/>
    <n v="3"/>
    <n v="8.07"/>
    <n v="10.06"/>
    <n v="81.83"/>
    <n v="14"/>
    <n v="1"/>
    <n v="53.122"/>
    <n v="63.940000000000005"/>
    <n v="58.055199999999999"/>
    <x v="1"/>
    <x v="0"/>
    <x v="1"/>
  </r>
  <r>
    <x v="895"/>
    <x v="1"/>
    <x v="0"/>
    <n v="67.290000000000006"/>
    <n v="10"/>
    <n v="8.42"/>
    <n v="39.33"/>
    <n v="68.33"/>
    <n v="13"/>
    <n v="5"/>
    <n v="56.73"/>
    <n v="83.756"/>
    <n v="65.6648"/>
    <x v="1"/>
    <x v="0"/>
    <x v="1"/>
  </r>
  <r>
    <x v="896"/>
    <x v="6"/>
    <x v="1"/>
    <n v="57.72"/>
    <n v="7"/>
    <n v="4.83"/>
    <n v="61.67"/>
    <n v="18.36"/>
    <n v="1"/>
    <n v="3"/>
    <n v="35.684000000000005"/>
    <n v="58.748000000000005"/>
    <n v="39.534800000000004"/>
    <x v="0"/>
    <x v="1"/>
    <x v="1"/>
  </r>
  <r>
    <x v="897"/>
    <x v="1"/>
    <x v="1"/>
    <n v="51.27"/>
    <n v="2"/>
    <n v="7.77"/>
    <n v="86.08"/>
    <n v="82.09"/>
    <n v="16"/>
    <n v="2"/>
    <n v="83.686000000000007"/>
    <n v="48.048000000000002"/>
    <n v="72.626000000000005"/>
    <x v="2"/>
    <x v="0"/>
    <x v="1"/>
  </r>
  <r>
    <x v="898"/>
    <x v="0"/>
    <x v="0"/>
    <n v="82.29"/>
    <n v="9"/>
    <n v="6.73"/>
    <n v="34.619999999999997"/>
    <n v="42.89"/>
    <n v="7"/>
    <n v="3"/>
    <n v="39.581999999999994"/>
    <n v="76.376000000000005"/>
    <n v="50.161999999999992"/>
    <x v="0"/>
    <x v="0"/>
    <x v="0"/>
  </r>
  <r>
    <x v="899"/>
    <x v="3"/>
    <x v="0"/>
    <n v="81.849999999999994"/>
    <n v="5"/>
    <n v="7.24"/>
    <n v="65.38"/>
    <n v="18.899999999999999"/>
    <n v="9"/>
    <n v="4"/>
    <n v="37.491999999999997"/>
    <n v="73.22"/>
    <n v="48.961199999999991"/>
    <x v="0"/>
    <x v="0"/>
    <x v="2"/>
  </r>
  <r>
    <x v="900"/>
    <x v="2"/>
    <x v="1"/>
    <n v="67.03"/>
    <n v="0"/>
    <n v="4.93"/>
    <n v="35.020000000000003"/>
    <n v="28.18"/>
    <n v="17"/>
    <n v="2"/>
    <n v="30.916"/>
    <n v="44.671999999999997"/>
    <n v="40.4512"/>
    <x v="0"/>
    <x v="0"/>
    <x v="1"/>
  </r>
  <r>
    <x v="901"/>
    <x v="1"/>
    <x v="1"/>
    <n v="53.59"/>
    <n v="6"/>
    <n v="6.33"/>
    <n v="61.72"/>
    <n v="26.75"/>
    <n v="18"/>
    <n v="2"/>
    <n v="40.738"/>
    <n v="54.096000000000004"/>
    <n v="49.671599999999998"/>
    <x v="0"/>
    <x v="1"/>
    <x v="1"/>
  </r>
  <r>
    <x v="902"/>
    <x v="6"/>
    <x v="1"/>
    <n v="70.48"/>
    <n v="7"/>
    <n v="8.06"/>
    <n v="88.48"/>
    <n v="51.92"/>
    <n v="7"/>
    <n v="3"/>
    <n v="66.544000000000011"/>
    <n v="70.312000000000012"/>
    <n v="64.52000000000001"/>
    <x v="1"/>
    <x v="2"/>
    <x v="1"/>
  </r>
  <r>
    <x v="903"/>
    <x v="0"/>
    <x v="0"/>
    <n v="65.56"/>
    <n v="10"/>
    <n v="3.98"/>
    <n v="23.14"/>
    <n v="23.44"/>
    <n v="7"/>
    <n v="0"/>
    <n v="23.32"/>
    <n v="54.184000000000005"/>
    <n v="33.747199999999999"/>
    <x v="0"/>
    <x v="0"/>
    <x v="0"/>
  </r>
  <r>
    <x v="904"/>
    <x v="3"/>
    <x v="0"/>
    <n v="83.86"/>
    <n v="7"/>
    <n v="8.06"/>
    <n v="40.42"/>
    <n v="12.36"/>
    <n v="2"/>
    <n v="2"/>
    <n v="23.584000000000003"/>
    <n v="71.664000000000001"/>
    <n v="36.6496"/>
    <x v="0"/>
    <x v="0"/>
    <x v="2"/>
  </r>
  <r>
    <x v="905"/>
    <x v="5"/>
    <x v="0"/>
    <n v="80.290000000000006"/>
    <n v="2"/>
    <n v="5.92"/>
    <n v="99.33"/>
    <n v="12.37"/>
    <n v="2"/>
    <n v="4"/>
    <n v="47.153999999999996"/>
    <n v="63.956000000000003"/>
    <n v="48.479199999999999"/>
    <x v="0"/>
    <x v="0"/>
    <x v="2"/>
  </r>
  <r>
    <x v="906"/>
    <x v="5"/>
    <x v="0"/>
    <n v="68.23"/>
    <n v="9"/>
    <n v="1.66"/>
    <n v="86.86"/>
    <n v="58.33"/>
    <n v="11"/>
    <n v="5"/>
    <n v="69.74199999999999"/>
    <n v="68.611999999999995"/>
    <n v="67.928799999999995"/>
    <x v="1"/>
    <x v="0"/>
    <x v="2"/>
  </r>
  <r>
    <x v="907"/>
    <x v="3"/>
    <x v="0"/>
    <n v="60.89"/>
    <n v="0"/>
    <n v="0.25"/>
    <n v="56.46"/>
    <n v="73.48"/>
    <n v="16"/>
    <n v="0"/>
    <n v="66.671999999999997"/>
    <n v="24.856000000000002"/>
    <n v="55.46"/>
    <x v="1"/>
    <x v="0"/>
    <x v="2"/>
  </r>
  <r>
    <x v="908"/>
    <x v="0"/>
    <x v="0"/>
    <n v="99.4"/>
    <n v="8"/>
    <n v="3.63"/>
    <n v="51.66"/>
    <n v="32.15"/>
    <n v="3"/>
    <n v="0"/>
    <n v="39.954000000000001"/>
    <n v="63.02"/>
    <n v="44.378399999999999"/>
    <x v="0"/>
    <x v="0"/>
    <x v="0"/>
  </r>
  <r>
    <x v="909"/>
    <x v="6"/>
    <x v="0"/>
    <n v="72.7"/>
    <n v="5"/>
    <n v="5.47"/>
    <n v="28.46"/>
    <n v="3.47"/>
    <n v="16"/>
    <n v="0"/>
    <n v="13.466000000000001"/>
    <n v="50.019999999999996"/>
    <n v="31.085599999999999"/>
    <x v="0"/>
    <x v="0"/>
    <x v="1"/>
  </r>
  <r>
    <x v="910"/>
    <x v="3"/>
    <x v="1"/>
    <n v="84.41"/>
    <n v="10"/>
    <n v="8.4"/>
    <n v="51.72"/>
    <n v="12.72"/>
    <n v="13"/>
    <n v="2"/>
    <n v="28.32"/>
    <n v="78.564000000000007"/>
    <n v="47.061199999999999"/>
    <x v="0"/>
    <x v="0"/>
    <x v="2"/>
  </r>
  <r>
    <x v="911"/>
    <x v="2"/>
    <x v="1"/>
    <n v="57.03"/>
    <n v="8"/>
    <n v="1.27"/>
    <n v="84.82"/>
    <n v="91.47"/>
    <n v="18"/>
    <n v="0"/>
    <n v="88.81"/>
    <n v="41.351999999999997"/>
    <n v="74.691599999999994"/>
    <x v="2"/>
    <x v="0"/>
    <x v="1"/>
  </r>
  <r>
    <x v="912"/>
    <x v="2"/>
    <x v="1"/>
    <n v="74.28"/>
    <n v="6"/>
    <n v="8"/>
    <n v="68.52"/>
    <n v="49.35"/>
    <n v="8"/>
    <n v="3"/>
    <n v="57.018000000000001"/>
    <n v="69.712000000000003"/>
    <n v="59.124399999999994"/>
    <x v="1"/>
    <x v="0"/>
    <x v="1"/>
  </r>
  <r>
    <x v="913"/>
    <x v="5"/>
    <x v="1"/>
    <n v="51.38"/>
    <n v="0"/>
    <n v="8.6300000000000008"/>
    <n v="29"/>
    <n v="45.36"/>
    <n v="11"/>
    <n v="0"/>
    <n v="38.816000000000003"/>
    <n v="37.812000000000005"/>
    <n v="40.133200000000002"/>
    <x v="0"/>
    <x v="1"/>
    <x v="2"/>
  </r>
  <r>
    <x v="914"/>
    <x v="1"/>
    <x v="0"/>
    <n v="75.27"/>
    <n v="0"/>
    <n v="1.51"/>
    <n v="20.149999999999999"/>
    <n v="3.8"/>
    <n v="4"/>
    <n v="4"/>
    <n v="10.34"/>
    <n v="49.128"/>
    <n v="22.942399999999999"/>
    <x v="0"/>
    <x v="0"/>
    <x v="1"/>
  </r>
  <r>
    <x v="915"/>
    <x v="6"/>
    <x v="2"/>
    <n v="98.2"/>
    <n v="5"/>
    <n v="8.52"/>
    <n v="26.52"/>
    <n v="72.86"/>
    <n v="10"/>
    <n v="1"/>
    <n v="54.323999999999998"/>
    <n v="70.319999999999993"/>
    <n v="58.690399999999997"/>
    <x v="1"/>
    <x v="0"/>
    <x v="1"/>
  </r>
  <r>
    <x v="916"/>
    <x v="5"/>
    <x v="1"/>
    <n v="69.209999999999994"/>
    <n v="4"/>
    <n v="9.91"/>
    <n v="16.98"/>
    <n v="52.81"/>
    <n v="19"/>
    <n v="4"/>
    <n v="38.478000000000002"/>
    <n v="71.503999999999991"/>
    <n v="54.037999999999997"/>
    <x v="0"/>
    <x v="0"/>
    <x v="2"/>
  </r>
  <r>
    <x v="917"/>
    <x v="1"/>
    <x v="1"/>
    <n v="51.95"/>
    <n v="8"/>
    <n v="7.27"/>
    <n v="9.56"/>
    <n v="20.21"/>
    <n v="2"/>
    <n v="2"/>
    <n v="15.95"/>
    <n v="59.32"/>
    <n v="28.366"/>
    <x v="0"/>
    <x v="1"/>
    <x v="1"/>
  </r>
  <r>
    <x v="918"/>
    <x v="1"/>
    <x v="0"/>
    <n v="51.55"/>
    <n v="1"/>
    <n v="7.85"/>
    <n v="41.91"/>
    <n v="11.01"/>
    <n v="14"/>
    <n v="0"/>
    <n v="23.369999999999997"/>
    <n v="38.32"/>
    <n v="32.518000000000001"/>
    <x v="0"/>
    <x v="1"/>
    <x v="1"/>
  </r>
  <r>
    <x v="919"/>
    <x v="4"/>
    <x v="2"/>
    <n v="69.400000000000006"/>
    <n v="7"/>
    <n v="9.94"/>
    <n v="11.33"/>
    <n v="38.340000000000003"/>
    <n v="13"/>
    <n v="0"/>
    <n v="27.536000000000001"/>
    <n v="61.64"/>
    <n v="41.513599999999997"/>
    <x v="0"/>
    <x v="0"/>
    <x v="0"/>
  </r>
  <r>
    <x v="920"/>
    <x v="2"/>
    <x v="1"/>
    <n v="58"/>
    <n v="10"/>
    <n v="6.05"/>
    <n v="17.190000000000001"/>
    <n v="83.72"/>
    <n v="10"/>
    <n v="3"/>
    <n v="57.108000000000004"/>
    <n v="67.300000000000011"/>
    <n v="59.454800000000006"/>
    <x v="1"/>
    <x v="0"/>
    <x v="1"/>
  </r>
  <r>
    <x v="921"/>
    <x v="0"/>
    <x v="0"/>
    <n v="51.17"/>
    <n v="4"/>
    <n v="3.08"/>
    <n v="54.73"/>
    <n v="86.53"/>
    <n v="19"/>
    <n v="5"/>
    <n v="73.81"/>
    <n v="54.628"/>
    <n v="70.174400000000006"/>
    <x v="2"/>
    <x v="0"/>
    <x v="0"/>
  </r>
  <r>
    <x v="922"/>
    <x v="7"/>
    <x v="1"/>
    <n v="87.81"/>
    <n v="1"/>
    <n v="8.3800000000000008"/>
    <n v="16.46"/>
    <n v="60.28"/>
    <n v="7"/>
    <n v="0"/>
    <n v="42.752000000000002"/>
    <n v="53.884"/>
    <n v="45.316400000000002"/>
    <x v="0"/>
    <x v="0"/>
    <x v="2"/>
  </r>
  <r>
    <x v="923"/>
    <x v="0"/>
    <x v="1"/>
    <n v="72.930000000000007"/>
    <n v="9"/>
    <n v="6.14"/>
    <n v="6.39"/>
    <n v="72.75"/>
    <n v="3"/>
    <n v="4"/>
    <n v="46.205999999999996"/>
    <n v="75.451999999999998"/>
    <n v="51.859200000000001"/>
    <x v="0"/>
    <x v="0"/>
    <x v="0"/>
  </r>
  <r>
    <x v="924"/>
    <x v="7"/>
    <x v="2"/>
    <n v="64.459999999999994"/>
    <n v="10"/>
    <n v="5.81"/>
    <n v="31.74"/>
    <n v="11.52"/>
    <n v="11"/>
    <n v="2"/>
    <n v="19.608000000000001"/>
    <n v="65.403999999999996"/>
    <n v="36.885999999999996"/>
    <x v="0"/>
    <x v="0"/>
    <x v="2"/>
  </r>
  <r>
    <x v="925"/>
    <x v="3"/>
    <x v="2"/>
    <n v="95"/>
    <n v="10"/>
    <n v="2.54"/>
    <n v="22.03"/>
    <n v="58.81"/>
    <n v="7"/>
    <n v="1"/>
    <n v="44.097999999999999"/>
    <n v="67.08"/>
    <n v="50.082799999999999"/>
    <x v="0"/>
    <x v="0"/>
    <x v="2"/>
  </r>
  <r>
    <x v="926"/>
    <x v="2"/>
    <x v="1"/>
    <n v="55.81"/>
    <n v="5"/>
    <n v="7.56"/>
    <n v="51.53"/>
    <n v="66.7"/>
    <n v="5"/>
    <n v="0"/>
    <n v="60.632000000000005"/>
    <n v="47.443999999999996"/>
    <n v="53.112400000000001"/>
    <x v="0"/>
    <x v="0"/>
    <x v="1"/>
  </r>
  <r>
    <x v="927"/>
    <x v="1"/>
    <x v="2"/>
    <n v="97.8"/>
    <n v="9"/>
    <n v="0.82"/>
    <n v="10.24"/>
    <n v="20.07"/>
    <n v="14"/>
    <n v="1"/>
    <n v="16.137999999999998"/>
    <n v="62.760000000000005"/>
    <n v="35.510799999999996"/>
    <x v="0"/>
    <x v="0"/>
    <x v="1"/>
  </r>
  <r>
    <x v="928"/>
    <x v="6"/>
    <x v="0"/>
    <n v="65.7"/>
    <n v="7"/>
    <n v="9.24"/>
    <n v="75.180000000000007"/>
    <n v="88.02"/>
    <n v="11"/>
    <n v="0"/>
    <n v="82.884"/>
    <n v="58.760000000000005"/>
    <n v="72.858399999999989"/>
    <x v="2"/>
    <x v="0"/>
    <x v="1"/>
  </r>
  <r>
    <x v="929"/>
    <x v="7"/>
    <x v="0"/>
    <n v="94.42"/>
    <n v="3"/>
    <n v="3.26"/>
    <n v="90.62"/>
    <n v="19.5"/>
    <n v="15"/>
    <n v="2"/>
    <n v="47.948000000000008"/>
    <n v="58.287999999999997"/>
    <n v="53.755200000000002"/>
    <x v="0"/>
    <x v="0"/>
    <x v="2"/>
  </r>
  <r>
    <x v="930"/>
    <x v="0"/>
    <x v="0"/>
    <n v="80.150000000000006"/>
    <n v="1"/>
    <n v="1.28"/>
    <n v="74.34"/>
    <n v="31.35"/>
    <n v="15"/>
    <n v="5"/>
    <n v="48.546000000000006"/>
    <n v="56.620000000000005"/>
    <n v="53.613600000000005"/>
    <x v="0"/>
    <x v="0"/>
    <x v="0"/>
  </r>
  <r>
    <x v="931"/>
    <x v="1"/>
    <x v="0"/>
    <n v="91.34"/>
    <n v="10"/>
    <n v="4.42"/>
    <n v="53.28"/>
    <n v="62.06"/>
    <n v="19"/>
    <n v="4"/>
    <n v="58.548000000000002"/>
    <n v="81.376000000000005"/>
    <n v="69.041600000000003"/>
    <x v="1"/>
    <x v="0"/>
    <x v="1"/>
  </r>
  <r>
    <x v="932"/>
    <x v="7"/>
    <x v="0"/>
    <n v="99.2"/>
    <n v="4"/>
    <n v="0.42"/>
    <n v="86.07"/>
    <n v="63.84"/>
    <n v="19"/>
    <n v="2"/>
    <n v="72.731999999999999"/>
    <n v="56.52000000000001"/>
    <n v="70.095200000000006"/>
    <x v="2"/>
    <x v="2"/>
    <x v="2"/>
  </r>
  <r>
    <x v="933"/>
    <x v="7"/>
    <x v="0"/>
    <n v="64.42"/>
    <n v="1"/>
    <n v="6.85"/>
    <n v="69.489999999999995"/>
    <n v="69.94"/>
    <n v="3"/>
    <n v="1"/>
    <n v="69.759999999999991"/>
    <n v="45.468000000000004"/>
    <n v="56.996399999999994"/>
    <x v="1"/>
    <x v="0"/>
    <x v="2"/>
  </r>
  <r>
    <x v="934"/>
    <x v="4"/>
    <x v="1"/>
    <n v="98.06"/>
    <n v="1"/>
    <n v="9.0299999999999994"/>
    <n v="1.06"/>
    <n v="11.2"/>
    <n v="10"/>
    <n v="0"/>
    <n v="7.1440000000000001"/>
    <n v="59.284000000000006"/>
    <n v="27.0716"/>
    <x v="0"/>
    <x v="0"/>
    <x v="0"/>
  </r>
  <r>
    <x v="935"/>
    <x v="7"/>
    <x v="1"/>
    <n v="69.47"/>
    <n v="5"/>
    <n v="8.3699999999999992"/>
    <n v="39.409999999999997"/>
    <n v="84.95"/>
    <n v="12"/>
    <n v="1"/>
    <n v="66.733999999999995"/>
    <n v="58.527999999999992"/>
    <n v="63.598799999999997"/>
    <x v="1"/>
    <x v="0"/>
    <x v="2"/>
  </r>
  <r>
    <x v="936"/>
    <x v="6"/>
    <x v="1"/>
    <n v="69.28"/>
    <n v="10"/>
    <n v="1.27"/>
    <n v="85.1"/>
    <n v="53.28"/>
    <n v="8"/>
    <n v="4"/>
    <n v="66.007999999999996"/>
    <n v="66.25200000000001"/>
    <n v="63.480400000000003"/>
    <x v="1"/>
    <x v="0"/>
    <x v="1"/>
  </r>
  <r>
    <x v="937"/>
    <x v="2"/>
    <x v="0"/>
    <n v="67.02"/>
    <n v="9"/>
    <n v="1.26"/>
    <n v="34.590000000000003"/>
    <n v="47.13"/>
    <n v="3"/>
    <n v="2"/>
    <n v="42.114000000000004"/>
    <n v="55.328000000000003"/>
    <n v="43.366800000000005"/>
    <x v="0"/>
    <x v="0"/>
    <x v="1"/>
  </r>
  <r>
    <x v="938"/>
    <x v="6"/>
    <x v="1"/>
    <n v="77.069999999999993"/>
    <n v="8"/>
    <n v="8.1300000000000008"/>
    <n v="3.52"/>
    <n v="98.11"/>
    <n v="11"/>
    <n v="1"/>
    <n v="60.274000000000001"/>
    <n v="67.088000000000008"/>
    <n v="61.790800000000004"/>
    <x v="1"/>
    <x v="2"/>
    <x v="1"/>
  </r>
  <r>
    <x v="939"/>
    <x v="5"/>
    <x v="0"/>
    <n v="57.71"/>
    <n v="3"/>
    <n v="9.24"/>
    <n v="74.62"/>
    <n v="74.040000000000006"/>
    <n v="8"/>
    <n v="1"/>
    <n v="74.272000000000006"/>
    <n v="51.564000000000007"/>
    <n v="64.032399999999996"/>
    <x v="1"/>
    <x v="0"/>
    <x v="2"/>
  </r>
  <r>
    <x v="940"/>
    <x v="1"/>
    <x v="2"/>
    <n v="77.69"/>
    <n v="5"/>
    <n v="4.6100000000000003"/>
    <n v="80.2"/>
    <n v="11.8"/>
    <n v="12"/>
    <n v="4"/>
    <n v="39.160000000000004"/>
    <n v="66.295999999999992"/>
    <n v="49.384799999999998"/>
    <x v="0"/>
    <x v="0"/>
    <x v="1"/>
  </r>
  <r>
    <x v="941"/>
    <x v="2"/>
    <x v="1"/>
    <n v="77.09"/>
    <n v="6"/>
    <n v="4.99"/>
    <n v="16.059999999999999"/>
    <n v="75.650000000000006"/>
    <n v="15"/>
    <n v="0"/>
    <n v="51.814"/>
    <n v="52.816000000000003"/>
    <n v="54.433199999999999"/>
    <x v="0"/>
    <x v="0"/>
    <x v="1"/>
  </r>
  <r>
    <x v="942"/>
    <x v="4"/>
    <x v="0"/>
    <n v="88.1"/>
    <n v="10"/>
    <n v="3.18"/>
    <n v="53.73"/>
    <n v="9.52"/>
    <n v="5"/>
    <n v="1"/>
    <n v="27.204000000000001"/>
    <n v="65.599999999999994"/>
    <n v="38.502399999999994"/>
    <x v="0"/>
    <x v="0"/>
    <x v="0"/>
  </r>
  <r>
    <x v="943"/>
    <x v="2"/>
    <x v="1"/>
    <n v="91.68"/>
    <n v="5"/>
    <n v="8.94"/>
    <n v="19.2"/>
    <n v="2.75"/>
    <n v="9"/>
    <n v="4"/>
    <n v="9.33"/>
    <n v="80.552000000000007"/>
    <n v="34.263599999999997"/>
    <x v="0"/>
    <x v="0"/>
    <x v="1"/>
  </r>
  <r>
    <x v="944"/>
    <x v="2"/>
    <x v="0"/>
    <n v="72.02"/>
    <n v="7"/>
    <n v="6.45"/>
    <n v="71.92"/>
    <n v="40.36"/>
    <n v="12"/>
    <n v="0"/>
    <n v="52.983999999999995"/>
    <n v="55.707999999999998"/>
    <n v="54.502799999999993"/>
    <x v="0"/>
    <x v="0"/>
    <x v="1"/>
  </r>
  <r>
    <x v="945"/>
    <x v="0"/>
    <x v="1"/>
    <n v="65.12"/>
    <n v="3"/>
    <n v="2.88"/>
    <n v="27.16"/>
    <n v="99.36"/>
    <n v="6"/>
    <n v="5"/>
    <n v="70.48"/>
    <n v="57.808"/>
    <n v="62.630400000000002"/>
    <x v="1"/>
    <x v="0"/>
    <x v="0"/>
  </r>
  <r>
    <x v="946"/>
    <x v="2"/>
    <x v="0"/>
    <n v="62.97"/>
    <n v="0"/>
    <n v="2.99"/>
    <n v="31.62"/>
    <n v="17.489999999999998"/>
    <n v="18"/>
    <n v="0"/>
    <n v="23.141999999999999"/>
    <n v="31.168000000000003"/>
    <n v="32.235599999999998"/>
    <x v="0"/>
    <x v="0"/>
    <x v="1"/>
  </r>
  <r>
    <x v="947"/>
    <x v="4"/>
    <x v="0"/>
    <n v="59.73"/>
    <n v="6"/>
    <n v="8.91"/>
    <n v="84.5"/>
    <n v="67.260000000000005"/>
    <n v="18"/>
    <n v="5"/>
    <n v="74.156000000000006"/>
    <n v="73.711999999999989"/>
    <n v="75.607199999999992"/>
    <x v="2"/>
    <x v="0"/>
    <x v="0"/>
  </r>
  <r>
    <x v="948"/>
    <x v="6"/>
    <x v="2"/>
    <n v="52.88"/>
    <n v="2"/>
    <n v="0.14000000000000001"/>
    <n v="47.63"/>
    <n v="17.34"/>
    <n v="16"/>
    <n v="2"/>
    <n v="29.456000000000003"/>
    <n v="33.432000000000002"/>
    <n v="35.703200000000002"/>
    <x v="0"/>
    <x v="1"/>
    <x v="1"/>
  </r>
  <r>
    <x v="949"/>
    <x v="2"/>
    <x v="0"/>
    <n v="67.12"/>
    <n v="5"/>
    <n v="3.23"/>
    <n v="66.98"/>
    <n v="72.48"/>
    <n v="12"/>
    <n v="4"/>
    <n v="70.28"/>
    <n v="59.308"/>
    <n v="65.960399999999993"/>
    <x v="1"/>
    <x v="0"/>
    <x v="1"/>
  </r>
  <r>
    <x v="950"/>
    <x v="3"/>
    <x v="0"/>
    <n v="63.51"/>
    <n v="1"/>
    <n v="5.54"/>
    <n v="40.24"/>
    <n v="50.54"/>
    <n v="12"/>
    <n v="0"/>
    <n v="46.42"/>
    <n v="38.484000000000002"/>
    <n v="45.397199999999998"/>
    <x v="0"/>
    <x v="0"/>
    <x v="2"/>
  </r>
  <r>
    <x v="951"/>
    <x v="1"/>
    <x v="0"/>
    <n v="98.32"/>
    <n v="8"/>
    <n v="1.48"/>
    <n v="29.8"/>
    <n v="68"/>
    <n v="1"/>
    <n v="5"/>
    <n v="52.72"/>
    <n v="78.288000000000011"/>
    <n v="55.618400000000001"/>
    <x v="1"/>
    <x v="0"/>
    <x v="1"/>
  </r>
  <r>
    <x v="952"/>
    <x v="2"/>
    <x v="0"/>
    <n v="77.89"/>
    <n v="0"/>
    <n v="0.92"/>
    <n v="62.55"/>
    <n v="20.29"/>
    <n v="9"/>
    <n v="5"/>
    <n v="37.194000000000003"/>
    <n v="52.996000000000002"/>
    <n v="42.715200000000003"/>
    <x v="0"/>
    <x v="0"/>
    <x v="1"/>
  </r>
  <r>
    <x v="953"/>
    <x v="1"/>
    <x v="0"/>
    <n v="67.36"/>
    <n v="5"/>
    <n v="8.15"/>
    <n v="15.49"/>
    <n v="74.56"/>
    <n v="12"/>
    <n v="2"/>
    <n v="50.931999999999995"/>
    <n v="61.244"/>
    <n v="54.932400000000001"/>
    <x v="0"/>
    <x v="0"/>
    <x v="1"/>
  </r>
  <r>
    <x v="954"/>
    <x v="3"/>
    <x v="1"/>
    <n v="79.02"/>
    <n v="5"/>
    <n v="8.94"/>
    <n v="37.299999999999997"/>
    <n v="99.56"/>
    <n v="8"/>
    <n v="3"/>
    <n v="74.655999999999992"/>
    <n v="71.488"/>
    <n v="70.239999999999995"/>
    <x v="2"/>
    <x v="2"/>
    <x v="2"/>
  </r>
  <r>
    <x v="955"/>
    <x v="3"/>
    <x v="2"/>
    <n v="56.96"/>
    <n v="4"/>
    <n v="8.24"/>
    <n v="20.9"/>
    <n v="66.569999999999993"/>
    <n v="0"/>
    <n v="4"/>
    <n v="48.301999999999992"/>
    <n v="63.264000000000003"/>
    <n v="47.960399999999993"/>
    <x v="0"/>
    <x v="1"/>
    <x v="2"/>
  </r>
  <r>
    <x v="956"/>
    <x v="1"/>
    <x v="0"/>
    <n v="72.2"/>
    <n v="4"/>
    <n v="8.99"/>
    <n v="69.58"/>
    <n v="49.35"/>
    <n v="13"/>
    <n v="3"/>
    <n v="57.442"/>
    <n v="66.86"/>
    <n v="61.023199999999996"/>
    <x v="1"/>
    <x v="0"/>
    <x v="1"/>
  </r>
  <r>
    <x v="957"/>
    <x v="7"/>
    <x v="0"/>
    <n v="81.31"/>
    <n v="0"/>
    <n v="5.53"/>
    <n v="94.42"/>
    <n v="92.32"/>
    <n v="15"/>
    <n v="0"/>
    <n v="93.16"/>
    <n v="43.584000000000003"/>
    <n v="76.471199999999996"/>
    <x v="2"/>
    <x v="2"/>
    <x v="2"/>
  </r>
  <r>
    <x v="958"/>
    <x v="5"/>
    <x v="1"/>
    <n v="74.44"/>
    <n v="9"/>
    <n v="8.1199999999999992"/>
    <n v="99.55"/>
    <n v="1.59"/>
    <n v="19"/>
    <n v="4"/>
    <n v="40.774000000000001"/>
    <n v="80.015999999999991"/>
    <n v="57.969200000000001"/>
    <x v="1"/>
    <x v="0"/>
    <x v="2"/>
  </r>
  <r>
    <x v="959"/>
    <x v="0"/>
    <x v="0"/>
    <n v="70.09"/>
    <n v="4"/>
    <n v="3.84"/>
    <n v="45.03"/>
    <n v="72.989999999999995"/>
    <n v="14"/>
    <n v="2"/>
    <n v="61.805999999999997"/>
    <n v="51.716000000000001"/>
    <n v="59.598399999999998"/>
    <x v="1"/>
    <x v="2"/>
    <x v="0"/>
  </r>
  <r>
    <x v="960"/>
    <x v="7"/>
    <x v="1"/>
    <n v="99.69"/>
    <n v="1"/>
    <n v="6.66"/>
    <n v="25.25"/>
    <n v="88.87"/>
    <n v="0"/>
    <n v="0"/>
    <n v="63.422000000000004"/>
    <n v="55.196000000000005"/>
    <n v="54.612000000000009"/>
    <x v="0"/>
    <x v="2"/>
    <x v="2"/>
  </r>
  <r>
    <x v="961"/>
    <x v="7"/>
    <x v="0"/>
    <n v="94.02"/>
    <n v="6"/>
    <n v="9.89"/>
    <n v="44.28"/>
    <n v="6.17"/>
    <n v="16"/>
    <n v="4"/>
    <n v="21.414000000000001"/>
    <n v="85.388000000000005"/>
    <n v="46.464800000000004"/>
    <x v="0"/>
    <x v="0"/>
    <x v="2"/>
  </r>
  <r>
    <x v="962"/>
    <x v="6"/>
    <x v="1"/>
    <n v="81.17"/>
    <n v="2"/>
    <n v="2.2599999999999998"/>
    <n v="84.73"/>
    <n v="45.01"/>
    <n v="12"/>
    <n v="4"/>
    <n v="60.897999999999996"/>
    <n v="56.988"/>
    <n v="59.635199999999998"/>
    <x v="1"/>
    <x v="2"/>
    <x v="1"/>
  </r>
  <r>
    <x v="963"/>
    <x v="0"/>
    <x v="0"/>
    <n v="78.47"/>
    <n v="3"/>
    <n v="3.9"/>
    <n v="20.6"/>
    <n v="20.47"/>
    <n v="14"/>
    <n v="3"/>
    <n v="20.521999999999998"/>
    <n v="57.188000000000002"/>
    <n v="36.4696"/>
    <x v="0"/>
    <x v="0"/>
    <x v="0"/>
  </r>
  <r>
    <x v="964"/>
    <x v="0"/>
    <x v="2"/>
    <n v="81.03"/>
    <n v="2"/>
    <n v="4.8"/>
    <n v="95.21"/>
    <n v="56.65"/>
    <n v="15"/>
    <n v="0"/>
    <n v="72.073999999999984"/>
    <n v="46.012"/>
    <n v="64.547999999999988"/>
    <x v="1"/>
    <x v="2"/>
    <x v="0"/>
  </r>
  <r>
    <x v="965"/>
    <x v="7"/>
    <x v="1"/>
    <n v="60.07"/>
    <n v="2"/>
    <n v="1.38"/>
    <n v="34.19"/>
    <n v="64.95"/>
    <n v="15"/>
    <n v="2"/>
    <n v="52.646000000000001"/>
    <n v="38.788000000000004"/>
    <n v="50.723999999999997"/>
    <x v="0"/>
    <x v="0"/>
    <x v="2"/>
  </r>
  <r>
    <x v="966"/>
    <x v="2"/>
    <x v="2"/>
    <n v="69.760000000000005"/>
    <n v="3"/>
    <n v="0.81"/>
    <n v="98.58"/>
    <n v="30.26"/>
    <n v="1"/>
    <n v="2"/>
    <n v="57.588000000000001"/>
    <n v="43.524000000000001"/>
    <n v="48.11"/>
    <x v="0"/>
    <x v="0"/>
    <x v="1"/>
  </r>
  <r>
    <x v="967"/>
    <x v="6"/>
    <x v="1"/>
    <n v="51.97"/>
    <n v="4"/>
    <n v="8.3000000000000007"/>
    <n v="83.86"/>
    <n v="46"/>
    <n v="16"/>
    <n v="0"/>
    <n v="61.144000000000005"/>
    <n v="45.388000000000005"/>
    <n v="58.302799999999998"/>
    <x v="1"/>
    <x v="0"/>
    <x v="1"/>
  </r>
  <r>
    <x v="968"/>
    <x v="6"/>
    <x v="0"/>
    <n v="73.78"/>
    <n v="0"/>
    <n v="9.77"/>
    <n v="80.86"/>
    <n v="27.93"/>
    <n v="10"/>
    <n v="0"/>
    <n v="49.102000000000004"/>
    <n v="49.052"/>
    <n v="49.1768"/>
    <x v="0"/>
    <x v="0"/>
    <x v="1"/>
  </r>
  <r>
    <x v="969"/>
    <x v="3"/>
    <x v="0"/>
    <n v="77.150000000000006"/>
    <n v="3"/>
    <n v="4.05"/>
    <n v="31.79"/>
    <n v="36.94"/>
    <n v="7"/>
    <n v="5"/>
    <n v="34.879999999999995"/>
    <n v="64.960000000000008"/>
    <n v="43.915999999999997"/>
    <x v="0"/>
    <x v="0"/>
    <x v="2"/>
  </r>
  <r>
    <x v="970"/>
    <x v="4"/>
    <x v="0"/>
    <n v="61.39"/>
    <n v="10"/>
    <n v="0.88"/>
    <n v="0.88"/>
    <n v="15.95"/>
    <n v="19"/>
    <n v="1"/>
    <n v="9.9219999999999988"/>
    <n v="50.315999999999995"/>
    <n v="30.547999999999995"/>
    <x v="0"/>
    <x v="0"/>
    <x v="0"/>
  </r>
  <r>
    <x v="971"/>
    <x v="0"/>
    <x v="0"/>
    <n v="98.2"/>
    <n v="7"/>
    <n v="0.66"/>
    <n v="38.21"/>
    <n v="88.56"/>
    <n v="2"/>
    <n v="3"/>
    <n v="68.42"/>
    <n v="66.599999999999994"/>
    <n v="62.031999999999996"/>
    <x v="1"/>
    <x v="2"/>
    <x v="0"/>
  </r>
  <r>
    <x v="972"/>
    <x v="7"/>
    <x v="0"/>
    <n v="95.47"/>
    <n v="9"/>
    <n v="8.91"/>
    <n v="30.18"/>
    <n v="1"/>
    <n v="11"/>
    <n v="0"/>
    <n v="12.672000000000001"/>
    <n v="74.00800000000001"/>
    <n v="35.305600000000005"/>
    <x v="0"/>
    <x v="0"/>
    <x v="2"/>
  </r>
  <r>
    <x v="973"/>
    <x v="3"/>
    <x v="1"/>
    <n v="86.11"/>
    <n v="6"/>
    <n v="4.6399999999999997"/>
    <n v="3.74"/>
    <n v="88.24"/>
    <n v="19"/>
    <n v="0"/>
    <n v="54.44"/>
    <n v="55.724000000000004"/>
    <n v="58.881199999999993"/>
    <x v="1"/>
    <x v="0"/>
    <x v="2"/>
  </r>
  <r>
    <x v="974"/>
    <x v="1"/>
    <x v="1"/>
    <n v="76.67"/>
    <n v="8"/>
    <n v="3.2"/>
    <n v="50.54"/>
    <n v="57.17"/>
    <n v="15"/>
    <n v="1"/>
    <n v="54.518000000000001"/>
    <n v="57.068000000000005"/>
    <n v="57.331199999999995"/>
    <x v="1"/>
    <x v="0"/>
    <x v="1"/>
  </r>
  <r>
    <x v="975"/>
    <x v="5"/>
    <x v="0"/>
    <n v="93.5"/>
    <n v="4"/>
    <n v="4.76"/>
    <n v="40.299999999999997"/>
    <n v="33.17"/>
    <n v="13"/>
    <n v="1"/>
    <n v="36.022000000000006"/>
    <n v="58.92"/>
    <n v="45.789200000000001"/>
    <x v="0"/>
    <x v="0"/>
    <x v="2"/>
  </r>
  <r>
    <x v="976"/>
    <x v="4"/>
    <x v="0"/>
    <n v="56.53"/>
    <n v="9"/>
    <n v="3.18"/>
    <n v="63.46"/>
    <n v="72.31"/>
    <n v="15"/>
    <n v="4"/>
    <n v="68.77000000000001"/>
    <n v="62.972000000000001"/>
    <n v="67.653600000000012"/>
    <x v="1"/>
    <x v="0"/>
    <x v="0"/>
  </r>
  <r>
    <x v="977"/>
    <x v="4"/>
    <x v="0"/>
    <n v="89.53"/>
    <n v="3"/>
    <n v="4.8899999999999997"/>
    <n v="62.12"/>
    <n v="50.78"/>
    <n v="16"/>
    <n v="2"/>
    <n v="55.316000000000003"/>
    <n v="59.592000000000006"/>
    <n v="59.0672"/>
    <x v="1"/>
    <x v="0"/>
    <x v="0"/>
  </r>
  <r>
    <x v="978"/>
    <x v="4"/>
    <x v="0"/>
    <n v="56.24"/>
    <n v="7"/>
    <n v="8.6"/>
    <n v="12.07"/>
    <n v="49.91"/>
    <n v="10"/>
    <n v="3"/>
    <n v="34.774000000000001"/>
    <n v="65.695999999999998"/>
    <n v="45.5732"/>
    <x v="0"/>
    <x v="1"/>
    <x v="0"/>
  </r>
  <r>
    <x v="979"/>
    <x v="6"/>
    <x v="1"/>
    <n v="89.71"/>
    <n v="8"/>
    <n v="5.92"/>
    <n v="97.7"/>
    <n v="11.01"/>
    <n v="16"/>
    <n v="4"/>
    <n v="45.686000000000007"/>
    <n v="79.724000000000004"/>
    <n v="59.328800000000001"/>
    <x v="1"/>
    <x v="0"/>
    <x v="1"/>
  </r>
  <r>
    <x v="980"/>
    <x v="1"/>
    <x v="0"/>
    <n v="63.79"/>
    <n v="6"/>
    <n v="6.95"/>
    <n v="18.690000000000001"/>
    <n v="38.950000000000003"/>
    <n v="18"/>
    <n v="0"/>
    <n v="30.846000000000004"/>
    <n v="51.416000000000004"/>
    <n v="42.932400000000001"/>
    <x v="0"/>
    <x v="0"/>
    <x v="1"/>
  </r>
  <r>
    <x v="981"/>
    <x v="4"/>
    <x v="1"/>
    <n v="93.85"/>
    <n v="6"/>
    <n v="3.65"/>
    <n v="44.53"/>
    <n v="24.11"/>
    <n v="0"/>
    <n v="1"/>
    <n v="32.277999999999999"/>
    <n v="60.839999999999996"/>
    <n v="37.618799999999993"/>
    <x v="0"/>
    <x v="0"/>
    <x v="0"/>
  </r>
  <r>
    <x v="982"/>
    <x v="1"/>
    <x v="0"/>
    <n v="97.2"/>
    <n v="4"/>
    <n v="7.39"/>
    <n v="48.81"/>
    <n v="1.57"/>
    <n v="11"/>
    <n v="5"/>
    <n v="20.466000000000001"/>
    <n v="81.66"/>
    <n v="42.2776"/>
    <x v="0"/>
    <x v="0"/>
    <x v="1"/>
  </r>
  <r>
    <x v="983"/>
    <x v="2"/>
    <x v="1"/>
    <n v="57.44"/>
    <n v="3"/>
    <n v="6.67"/>
    <n v="81.31"/>
    <n v="36.01"/>
    <n v="14"/>
    <n v="2"/>
    <n v="54.129999999999995"/>
    <n v="50.316000000000003"/>
    <n v="54.572799999999994"/>
    <x v="0"/>
    <x v="0"/>
    <x v="1"/>
  </r>
  <r>
    <x v="984"/>
    <x v="4"/>
    <x v="1"/>
    <n v="73.13"/>
    <n v="9"/>
    <n v="1.2"/>
    <n v="9.92"/>
    <n v="8.98"/>
    <n v="17"/>
    <n v="4"/>
    <n v="9.3559999999999999"/>
    <n v="65.651999999999987"/>
    <n v="33.809199999999997"/>
    <x v="0"/>
    <x v="0"/>
    <x v="0"/>
  </r>
  <r>
    <x v="985"/>
    <x v="5"/>
    <x v="1"/>
    <n v="99.05"/>
    <n v="0"/>
    <n v="5.73"/>
    <n v="42.86"/>
    <n v="25.68"/>
    <n v="13"/>
    <n v="5"/>
    <n v="32.552"/>
    <n v="71.080000000000013"/>
    <n v="47.355199999999996"/>
    <x v="0"/>
    <x v="0"/>
    <x v="2"/>
  </r>
  <r>
    <x v="986"/>
    <x v="1"/>
    <x v="1"/>
    <n v="74.17"/>
    <n v="9"/>
    <n v="2.57"/>
    <n v="62.85"/>
    <n v="9.25"/>
    <n v="0"/>
    <n v="2"/>
    <n v="30.69"/>
    <n v="60.808000000000007"/>
    <n v="36.656400000000005"/>
    <x v="0"/>
    <x v="0"/>
    <x v="1"/>
  </r>
  <r>
    <x v="987"/>
    <x v="1"/>
    <x v="0"/>
    <n v="93.18"/>
    <n v="9"/>
    <n v="8.0399999999999991"/>
    <n v="21.52"/>
    <n v="10.09"/>
    <n v="12"/>
    <n v="5"/>
    <n v="14.661999999999999"/>
    <n v="91.352000000000004"/>
    <n v="42.202799999999996"/>
    <x v="0"/>
    <x v="0"/>
    <x v="1"/>
  </r>
  <r>
    <x v="988"/>
    <x v="5"/>
    <x v="1"/>
    <n v="79.44"/>
    <n v="6"/>
    <n v="4.26"/>
    <n v="62.75"/>
    <n v="19.899999999999999"/>
    <n v="14"/>
    <n v="1"/>
    <n v="37.04"/>
    <n v="56.295999999999992"/>
    <n v="46.112799999999993"/>
    <x v="0"/>
    <x v="0"/>
    <x v="2"/>
  </r>
  <r>
    <x v="989"/>
    <x v="4"/>
    <x v="1"/>
    <n v="68.77"/>
    <n v="0"/>
    <n v="9.9499999999999993"/>
    <n v="92.37"/>
    <n v="99.98"/>
    <n v="6"/>
    <n v="4"/>
    <n v="96.936000000000007"/>
    <n v="63.408000000000001"/>
    <n v="80.183999999999997"/>
    <x v="2"/>
    <x v="0"/>
    <x v="0"/>
  </r>
  <r>
    <x v="990"/>
    <x v="5"/>
    <x v="1"/>
    <n v="64.290000000000006"/>
    <n v="0"/>
    <n v="0.93"/>
    <n v="99.75"/>
    <n v="0.22"/>
    <n v="14"/>
    <n v="4"/>
    <n v="40.032000000000004"/>
    <n v="43.576000000000008"/>
    <n v="44.092000000000006"/>
    <x v="0"/>
    <x v="0"/>
    <x v="2"/>
  </r>
  <r>
    <x v="991"/>
    <x v="1"/>
    <x v="1"/>
    <n v="60.16"/>
    <n v="4"/>
    <n v="7.8"/>
    <n v="3.25"/>
    <n v="63.87"/>
    <n v="19"/>
    <n v="2"/>
    <n v="39.621999999999993"/>
    <n v="55.664000000000001"/>
    <n v="49.972399999999993"/>
    <x v="0"/>
    <x v="0"/>
    <x v="1"/>
  </r>
  <r>
    <x v="992"/>
    <x v="5"/>
    <x v="1"/>
    <n v="88.09"/>
    <n v="8"/>
    <n v="6.74"/>
    <n v="23.56"/>
    <n v="14.12"/>
    <n v="9"/>
    <n v="5"/>
    <n v="17.896000000000001"/>
    <n v="84.716000000000008"/>
    <n v="40.6524"/>
    <x v="0"/>
    <x v="0"/>
    <x v="2"/>
  </r>
  <r>
    <x v="993"/>
    <x v="1"/>
    <x v="1"/>
    <n v="69.33"/>
    <n v="5"/>
    <n v="7.67"/>
    <n v="31.03"/>
    <n v="92.06"/>
    <n v="13"/>
    <n v="1"/>
    <n v="67.647999999999996"/>
    <n v="57.072000000000003"/>
    <n v="64.210399999999993"/>
    <x v="1"/>
    <x v="0"/>
    <x v="1"/>
  </r>
  <r>
    <x v="994"/>
    <x v="1"/>
    <x v="0"/>
    <n v="75.56"/>
    <n v="2"/>
    <n v="3.08"/>
    <n v="39.909999999999997"/>
    <n v="9.36"/>
    <n v="5"/>
    <n v="0"/>
    <n v="21.58"/>
    <n v="40.384"/>
    <n v="27.563199999999998"/>
    <x v="0"/>
    <x v="0"/>
    <x v="1"/>
  </r>
  <r>
    <x v="995"/>
    <x v="2"/>
    <x v="0"/>
    <n v="74.62"/>
    <n v="2"/>
    <n v="4.92"/>
    <n v="24.23"/>
    <n v="95.51"/>
    <n v="13"/>
    <n v="4"/>
    <n v="66.998000000000005"/>
    <n v="59.688000000000002"/>
    <n v="64.605199999999996"/>
    <x v="1"/>
    <x v="2"/>
    <x v="1"/>
  </r>
  <r>
    <x v="996"/>
    <x v="7"/>
    <x v="0"/>
    <n v="78.86"/>
    <n v="6"/>
    <n v="7.97"/>
    <n v="20.350000000000001"/>
    <n v="61.09"/>
    <n v="11"/>
    <n v="0"/>
    <n v="44.794000000000004"/>
    <n v="59.483999999999995"/>
    <n v="50.221599999999995"/>
    <x v="0"/>
    <x v="0"/>
    <x v="2"/>
  </r>
  <r>
    <x v="997"/>
    <x v="1"/>
    <x v="0"/>
    <n v="93.28"/>
    <n v="5"/>
    <n v="2.33"/>
    <n v="95.46"/>
    <n v="0.13"/>
    <n v="10"/>
    <n v="1"/>
    <n v="38.262"/>
    <n v="55.972000000000008"/>
    <n v="44.748800000000003"/>
    <x v="0"/>
    <x v="0"/>
    <x v="1"/>
  </r>
  <r>
    <x v="998"/>
    <x v="4"/>
    <x v="1"/>
    <n v="99.04"/>
    <n v="8"/>
    <n v="2.2599999999999998"/>
    <n v="91.85"/>
    <n v="89.4"/>
    <n v="19"/>
    <n v="4"/>
    <n v="90.38"/>
    <n v="76.13600000000001"/>
    <n v="86.568799999999996"/>
    <x v="3"/>
    <x v="2"/>
    <x v="0"/>
  </r>
  <r>
    <x v="999"/>
    <x v="3"/>
    <x v="0"/>
    <n v="70.38"/>
    <n v="5"/>
    <n v="5.51"/>
    <n v="4.7"/>
    <n v="52.17"/>
    <n v="18"/>
    <n v="4"/>
    <n v="33.182000000000002"/>
    <n v="65.171999999999997"/>
    <n v="48.460799999999999"/>
    <x v="0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D4A14-DDD8-43F6-952E-707B33F00DEA}" name="PivotTable1" cacheId="6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7" firstHeaderRow="0" firstDataRow="1" firstDataCol="1"/>
  <pivotFields count="16"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cademic_Score" fld="10" subtotal="average" baseField="0" baseItem="0"/>
    <dataField name="Average of Success_Score" fld="12" subtotal="average" baseField="0" baseItem="0"/>
    <dataField name="Average of Attendance_Percentage" fld="3" subtotal="average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998DF-6D89-47A5-9977-6929977A3618}" name="PivotTable2" cacheId="6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8" firstHeaderRow="1" firstDataRow="2" firstDataCol="1"/>
  <pivotFields count="16">
    <pivotField dataField="1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1"/>
        <item x="3"/>
        <item x="0"/>
        <item x="2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14075-4469-4DA6-9D3D-0FD2E18240EC}" name="PivotTable3" cacheId="6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E7" firstHeaderRow="0" firstDataRow="1" firstDataCol="1"/>
  <pivotFields count="16">
    <pivotField compact="0" outline="0" showAll="0"/>
    <pivotField compact="0" outline="0" showAll="0">
      <items count="9">
        <item x="7"/>
        <item x="5"/>
        <item x="3"/>
        <item x="1"/>
        <item x="2"/>
        <item x="6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cademic_Score" fld="10" subtotal="average" baseField="0" baseItem="0"/>
    <dataField name="Average of Engagement_Score" fld="11" subtotal="average" baseField="0" baseItem="0"/>
    <dataField name="Average of Success_Score" fld="12" subtotal="average" baseField="0" baseItem="0"/>
    <dataField name="Average of Study_Hours_per_Week" fld="8" subtotal="average" baseField="0" baseItem="0"/>
  </dataFields>
  <formats count="1">
    <format dxfId="9">
      <pivotArea outline="0" fieldPosition="0">
        <references count="1">
          <reference field="15" count="0" selected="0"/>
        </references>
      </pivotArea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96A84-1C64-4C07-BFE8-F9F954464CBF}" name="PivotTable4" cacheId="6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E8" firstHeaderRow="0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axis="axisRow" compact="0" outline="0" showAll="0">
      <items count="5">
        <item x="1"/>
        <item x="3"/>
        <item x="0"/>
        <item x="2"/>
        <item t="default"/>
      </items>
    </pivotField>
    <pivotField compact="0" outline="0" showAll="0"/>
    <pivotField compact="0" outline="0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Engagement_Score" fld="11" subtotal="average" baseField="0" baseItem="0" numFmtId="2"/>
    <dataField name="Average of Academic_Score" fld="10" subtotal="average" baseField="0" baseItem="0" numFmtId="2"/>
    <dataField name="Average of Success_Score" fld="12" subtotal="average" baseField="0" baseItem="0" numFmtId="2"/>
    <dataField name="Average of Study_Hours_per_Week" fld="8" subtotal="average" baseField="0" baseItem="0"/>
  </dataFields>
  <formats count="1">
    <format dxfId="8">
      <pivotArea outline="0" fieldPosition="0">
        <references count="1">
          <reference field="4294967294" count="3" selected="0">
            <x v="0"/>
            <x v="1"/>
            <x v="2"/>
          </reference>
        </references>
      </pivotArea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8DC0E7-E292-45C1-85E4-7FAD7A0D2FF7}" name="StudentData" displayName="StudentData" ref="A1:P1001" totalsRowShown="0">
  <autoFilter ref="A1:P1001" xr:uid="{FF8DC0E7-E292-45C1-85E4-7FAD7A0D2FF7}"/>
  <tableColumns count="16">
    <tableColumn id="1" xr3:uid="{64341406-62D1-4D54-9EF2-05BA05AD87CC}" name="Student_ID"/>
    <tableColumn id="2" xr3:uid="{31009F02-3E65-4BE1-B6F9-0233C823E150}" name="Age"/>
    <tableColumn id="3" xr3:uid="{7CB32E68-AB9D-4701-9CAA-3C69321B632B}" name="Gender"/>
    <tableColumn id="4" xr3:uid="{9534918E-6B5E-44E1-85FF-E363059A1EA8}" name="Attendance_Percentage"/>
    <tableColumn id="5" xr3:uid="{659CC469-9394-4DD4-9D45-5C1943982A6B}" name="Assignments_Completed"/>
    <tableColumn id="6" xr3:uid="{5942E1A3-B79C-40C0-877E-803CBA6ADD87}" name="Class_Participation"/>
    <tableColumn id="7" xr3:uid="{DDBF1EDA-1622-490F-A28B-759CC4A3CFD9}" name="Midterm_Grade"/>
    <tableColumn id="8" xr3:uid="{2A58A558-C23C-4231-9A3A-EC20FC160ED1}" name="Final_Grade"/>
    <tableColumn id="9" xr3:uid="{BDF296CB-1DCC-4290-8EA6-D909133C2780}" name="Study_Hours_per_Week"/>
    <tableColumn id="10" xr3:uid="{61C917A7-7A45-4E56-950B-3985DE3CB3EC}" name="Projects_Submitted"/>
    <tableColumn id="12" xr3:uid="{DF816F00-302E-402D-A2F6-AF1BEDC1A28B}" name="Academic_Score" dataDxfId="7">
      <calculatedColumnFormula>(StudentData[[#This Row],[Midterm_Grade]]*40%)+(StudentData[[#This Row],[Final_Grade]]*60%)</calculatedColumnFormula>
    </tableColumn>
    <tableColumn id="13" xr3:uid="{31EF020A-FE1A-4A19-905C-E0AFF989F3C6}" name="Engagement_Score" dataDxfId="6">
      <calculatedColumnFormula>StudentData[[#This Row],[Attendance_Percentage]]*40%+StudentData[[#This Row],[Assignments_Completed]]*2+StudentData[[#This Row],[Class_Participation]]*2+StudentData[[#This Row],[Projects_Submitted]]*4</calculatedColumnFormula>
    </tableColumn>
    <tableColumn id="14" xr3:uid="{2160DE32-54D0-4D1B-8F8F-90B9F0DF1906}" name="Success_Score" dataDxfId="5">
      <calculatedColumnFormula>StudentData[[#This Row],[Academic_Score]]*60%+StudentData[[#This Row],[Engagement_Score]]*30%+MIN(StudentData[[#This Row],[Study_Hours_per_Week]],20)/20*100*10%</calculatedColumnFormula>
    </tableColumn>
    <tableColumn id="15" xr3:uid="{7D4C4D5B-8140-4D39-BF1E-9370845A2724}" name="Performance_Category" dataDxfId="4">
      <calculatedColumnFormula array="1">_xlfn.IFS(StudentData[[#This Row],[Success_Score]]&gt;=85,"Exceptional",StudentData[[#This Row],[Success_Score]]&gt;=70,"Strong",StudentData[[#This Row],[Success_Score]]&gt;=55,"Developing",TRUE,"Needs Improvement")</calculatedColumnFormula>
    </tableColumn>
    <tableColumn id="16" xr3:uid="{A74CAE78-12EF-46EC-8DBF-A06EE56B2132}" name="Risk_Level" dataDxfId="3">
      <calculatedColumnFormula>IF(AND(D2&lt;60,K2&lt;50),"High Risk",IF(OR(D2&lt;70,K2&lt;60),"Medium Risk","Low Risk"))</calculatedColumnFormula>
    </tableColumn>
    <tableColumn id="17" xr3:uid="{C367EE09-ACCD-4BDE-B00D-2939D83F73DB}" name="Age_Group" dataDxfId="2">
      <calculatedColumnFormula>IF(B2&lt;=20,"18-20",IF(B2&lt;=23,"21-23","24-25"))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C35B33-7DDE-434E-938D-F5A36FC8AA1E}" name="Table2" displayName="Table2" ref="A2:B6" totalsRowShown="0">
  <autoFilter ref="A2:B6" xr:uid="{95C35B33-7DDE-434E-938D-F5A36FC8AA1E}"/>
  <tableColumns count="2">
    <tableColumn id="1" xr3:uid="{87EDD7A0-32DF-48B0-9EDF-6808807E9D76}" name="Performance" dataDxfId="1"/>
    <tableColumn id="2" xr3:uid="{13CF5D55-DDC3-4F62-B407-F2C5030568BF}" name="Average" dataDxfId="0">
      <calculatedColumnFormula>Analysis!B3</calculatedColumnFormula>
    </tableColumn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8648-D1A2-465B-A53B-65B6F5FFEB87}">
  <sheetPr>
    <tabColor rgb="FF002060"/>
  </sheetPr>
  <dimension ref="A3:D7"/>
  <sheetViews>
    <sheetView workbookViewId="0">
      <selection activeCell="H9" sqref="H9"/>
    </sheetView>
  </sheetViews>
  <sheetFormatPr defaultRowHeight="15"/>
  <cols>
    <col min="1" max="1" width="11.7109375" bestFit="1" customWidth="1"/>
    <col min="2" max="2" width="26.42578125" bestFit="1" customWidth="1"/>
    <col min="3" max="3" width="24.42578125" bestFit="1" customWidth="1"/>
    <col min="4" max="4" width="33.42578125" bestFit="1" customWidth="1"/>
  </cols>
  <sheetData>
    <row r="3" spans="1:4">
      <c r="A3" s="7" t="s">
        <v>0</v>
      </c>
      <c r="B3" t="s">
        <v>1</v>
      </c>
      <c r="C3" t="s">
        <v>2</v>
      </c>
      <c r="D3" t="s">
        <v>3</v>
      </c>
    </row>
    <row r="4" spans="1:4">
      <c r="A4" t="s">
        <v>4</v>
      </c>
      <c r="B4" s="3">
        <v>48.744215859030831</v>
      </c>
      <c r="C4" s="3">
        <v>51.922001762114533</v>
      </c>
      <c r="D4" s="3">
        <v>75.269757709251067</v>
      </c>
    </row>
    <row r="5" spans="1:4">
      <c r="A5" t="s">
        <v>5</v>
      </c>
      <c r="B5" s="3">
        <v>49.041651785714294</v>
      </c>
      <c r="C5" s="3">
        <v>52.080130357142814</v>
      </c>
      <c r="D5" s="3">
        <v>74.335535714285626</v>
      </c>
    </row>
    <row r="6" spans="1:4">
      <c r="A6" t="s">
        <v>6</v>
      </c>
      <c r="B6" s="3">
        <v>47.073265306122458</v>
      </c>
      <c r="C6" s="3">
        <v>49.96932653061225</v>
      </c>
      <c r="D6" s="3">
        <v>75.848979591836738</v>
      </c>
    </row>
    <row r="7" spans="1:4">
      <c r="A7" t="s">
        <v>7</v>
      </c>
      <c r="B7" s="3">
        <v>48.713714000000024</v>
      </c>
      <c r="C7" s="3">
        <v>51.801481199999984</v>
      </c>
      <c r="D7" s="3">
        <v>74.907989999999899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4DCB-8BB7-41F1-A05F-1526C2CF770C}">
  <sheetPr>
    <tabColor rgb="FFFF0000"/>
  </sheetPr>
  <dimension ref="A3:F8"/>
  <sheetViews>
    <sheetView workbookViewId="0">
      <selection activeCell="A5" sqref="A5:F7"/>
    </sheetView>
  </sheetViews>
  <sheetFormatPr defaultRowHeight="15"/>
  <cols>
    <col min="1" max="1" width="19.5703125" bestFit="1" customWidth="1"/>
    <col min="2" max="2" width="25.28515625" bestFit="1" customWidth="1"/>
    <col min="3" max="3" width="11.42578125" bestFit="1" customWidth="1"/>
    <col min="4" max="4" width="19.7109375" bestFit="1" customWidth="1"/>
    <col min="5" max="5" width="7" bestFit="1" customWidth="1"/>
    <col min="6" max="7" width="11.7109375" bestFit="1" customWidth="1"/>
  </cols>
  <sheetData>
    <row r="3" spans="1:6">
      <c r="A3" s="7" t="s">
        <v>8</v>
      </c>
      <c r="B3" s="7" t="s">
        <v>9</v>
      </c>
    </row>
    <row r="4" spans="1:6">
      <c r="A4" s="7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7</v>
      </c>
    </row>
    <row r="5" spans="1:6">
      <c r="A5" t="s">
        <v>15</v>
      </c>
      <c r="B5" s="3">
        <v>2</v>
      </c>
      <c r="C5" s="3"/>
      <c r="D5" s="3">
        <v>108</v>
      </c>
      <c r="E5" s="3"/>
      <c r="F5" s="3">
        <v>110</v>
      </c>
    </row>
    <row r="6" spans="1:6">
      <c r="A6" t="s">
        <v>16</v>
      </c>
      <c r="B6" s="3">
        <v>108</v>
      </c>
      <c r="C6" s="3">
        <v>3</v>
      </c>
      <c r="D6" s="3">
        <v>4</v>
      </c>
      <c r="E6" s="3">
        <v>62</v>
      </c>
      <c r="F6" s="3">
        <v>177</v>
      </c>
    </row>
    <row r="7" spans="1:6">
      <c r="A7" t="s">
        <v>17</v>
      </c>
      <c r="B7" s="3">
        <v>201</v>
      </c>
      <c r="C7" s="3"/>
      <c r="D7" s="3">
        <v>481</v>
      </c>
      <c r="E7" s="3">
        <v>31</v>
      </c>
      <c r="F7" s="3">
        <v>713</v>
      </c>
    </row>
    <row r="8" spans="1:6">
      <c r="A8" t="s">
        <v>7</v>
      </c>
      <c r="B8" s="3">
        <v>311</v>
      </c>
      <c r="C8" s="3">
        <v>3</v>
      </c>
      <c r="D8" s="3">
        <v>593</v>
      </c>
      <c r="E8" s="3">
        <v>93</v>
      </c>
      <c r="F8" s="3">
        <v>1000</v>
      </c>
    </row>
  </sheetData>
  <conditionalFormatting sqref="A5:F7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F332-F02E-4398-896C-3C02B5C91215}">
  <sheetPr>
    <tabColor rgb="FFFFFF00"/>
  </sheetPr>
  <dimension ref="A3:E7"/>
  <sheetViews>
    <sheetView workbookViewId="0">
      <selection activeCell="G13" sqref="G13"/>
    </sheetView>
  </sheetViews>
  <sheetFormatPr defaultRowHeight="15"/>
  <cols>
    <col min="1" max="1" width="14.28515625" bestFit="1" customWidth="1"/>
    <col min="2" max="2" width="26.42578125" bestFit="1" customWidth="1"/>
    <col min="3" max="3" width="28.85546875" bestFit="1" customWidth="1"/>
    <col min="4" max="4" width="24.42578125" bestFit="1" customWidth="1"/>
    <col min="5" max="5" width="33.5703125" bestFit="1" customWidth="1"/>
  </cols>
  <sheetData>
    <row r="3" spans="1:5">
      <c r="A3" s="7" t="s">
        <v>18</v>
      </c>
      <c r="B3" t="s">
        <v>1</v>
      </c>
      <c r="C3" t="s">
        <v>19</v>
      </c>
      <c r="D3" t="s">
        <v>2</v>
      </c>
      <c r="E3" t="s">
        <v>20</v>
      </c>
    </row>
    <row r="4" spans="1:5">
      <c r="A4" t="s">
        <v>21</v>
      </c>
      <c r="B4" s="10">
        <v>48.165035812672187</v>
      </c>
      <c r="C4" s="10">
        <v>60.272011019283681</v>
      </c>
      <c r="D4" s="10">
        <v>51.993021487603308</v>
      </c>
      <c r="E4" s="10">
        <v>10.024793388429751</v>
      </c>
    </row>
    <row r="5" spans="1:5">
      <c r="A5" t="s">
        <v>22</v>
      </c>
      <c r="B5" s="10">
        <v>48.799984375000044</v>
      </c>
      <c r="C5" s="10">
        <v>58.21054166666665</v>
      </c>
      <c r="D5" s="10">
        <v>51.553048958333356</v>
      </c>
      <c r="E5" s="10">
        <v>9.6197916666666661</v>
      </c>
    </row>
    <row r="6" spans="1:5">
      <c r="A6" t="s">
        <v>23</v>
      </c>
      <c r="B6" s="10">
        <v>49.370007905138344</v>
      </c>
      <c r="C6" s="10">
        <v>59.792837944664029</v>
      </c>
      <c r="D6" s="10">
        <v>51.903729644268793</v>
      </c>
      <c r="E6" s="10">
        <v>8.687747035573123</v>
      </c>
    </row>
    <row r="7" spans="1:5">
      <c r="A7" t="s">
        <v>7</v>
      </c>
      <c r="B7" s="3">
        <v>48.713713999999996</v>
      </c>
      <c r="C7" s="3">
        <v>59.359175999999977</v>
      </c>
      <c r="D7" s="3">
        <v>51.801481200000012</v>
      </c>
      <c r="E7" s="3">
        <v>9.5310000000000006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D92BA-B4B5-437E-9BC0-BB0F84DE6BE5}">
  <sheetPr>
    <tabColor theme="9" tint="0.59999389629810485"/>
  </sheetPr>
  <dimension ref="A3:E8"/>
  <sheetViews>
    <sheetView workbookViewId="0">
      <selection activeCell="E4" sqref="E4:E7"/>
    </sheetView>
  </sheetViews>
  <sheetFormatPr defaultRowHeight="15"/>
  <cols>
    <col min="1" max="1" width="25.28515625" bestFit="1" customWidth="1"/>
    <col min="2" max="2" width="28.85546875" bestFit="1" customWidth="1"/>
    <col min="3" max="3" width="26.42578125" bestFit="1" customWidth="1"/>
    <col min="4" max="4" width="24.42578125" bestFit="1" customWidth="1"/>
    <col min="5" max="5" width="33.5703125" bestFit="1" customWidth="1"/>
  </cols>
  <sheetData>
    <row r="3" spans="1:5">
      <c r="A3" s="7" t="s">
        <v>9</v>
      </c>
      <c r="B3" t="s">
        <v>19</v>
      </c>
      <c r="C3" t="s">
        <v>1</v>
      </c>
      <c r="D3" t="s">
        <v>2</v>
      </c>
      <c r="E3" t="s">
        <v>20</v>
      </c>
    </row>
    <row r="4" spans="1:5">
      <c r="A4" t="s">
        <v>11</v>
      </c>
      <c r="B4" s="11">
        <v>61.505016077170374</v>
      </c>
      <c r="C4" s="11">
        <v>63.748147909967841</v>
      </c>
      <c r="D4" s="11">
        <v>61.602322829582008</v>
      </c>
      <c r="E4" s="3">
        <v>9.8038585209003219</v>
      </c>
    </row>
    <row r="5" spans="1:5">
      <c r="A5" t="s">
        <v>12</v>
      </c>
      <c r="B5" s="11">
        <v>72.162666666666667</v>
      </c>
      <c r="C5" s="11">
        <v>93.37266666666666</v>
      </c>
      <c r="D5" s="11">
        <v>87.172399999999996</v>
      </c>
      <c r="E5" s="3">
        <v>19</v>
      </c>
    </row>
    <row r="6" spans="1:5">
      <c r="A6" t="s">
        <v>13</v>
      </c>
      <c r="B6" s="11">
        <v>57.402529510961195</v>
      </c>
      <c r="C6" s="11">
        <v>35.463406408094421</v>
      </c>
      <c r="D6" s="11">
        <v>42.975193929173678</v>
      </c>
      <c r="E6" s="3">
        <v>8.9527824620573355</v>
      </c>
    </row>
    <row r="7" spans="1:5">
      <c r="A7" t="s">
        <v>14</v>
      </c>
      <c r="B7" s="11">
        <v>64.246537634408611</v>
      </c>
      <c r="C7" s="11">
        <v>81.485182795698933</v>
      </c>
      <c r="D7" s="11">
        <v>74.165070967741968</v>
      </c>
      <c r="E7" s="3">
        <v>12</v>
      </c>
    </row>
    <row r="8" spans="1:5">
      <c r="A8" t="s">
        <v>7</v>
      </c>
      <c r="B8" s="11">
        <v>59.359175999999977</v>
      </c>
      <c r="C8" s="11">
        <v>48.713713999999975</v>
      </c>
      <c r="D8" s="11">
        <v>51.801481200000012</v>
      </c>
      <c r="E8" s="3">
        <v>9.5310000000000006</v>
      </c>
    </row>
  </sheetData>
  <conditionalFormatting sqref="A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E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464A-6888-4C02-B6E2-5ED78F6A154B}">
  <sheetPr>
    <tabColor theme="5" tint="0.59999389629810485"/>
  </sheetPr>
  <dimension ref="A1:P1001"/>
  <sheetViews>
    <sheetView tabSelected="1" workbookViewId="0">
      <selection activeCell="C1" sqref="C1"/>
    </sheetView>
  </sheetViews>
  <sheetFormatPr defaultRowHeight="15"/>
  <cols>
    <col min="1" max="1" width="13.42578125" bestFit="1" customWidth="1"/>
    <col min="3" max="3" width="10" bestFit="1" customWidth="1"/>
    <col min="4" max="4" width="25.28515625" bestFit="1" customWidth="1"/>
    <col min="5" max="5" width="26" bestFit="1" customWidth="1"/>
    <col min="6" max="6" width="20.5703125" bestFit="1" customWidth="1"/>
    <col min="7" max="7" width="17.85546875" bestFit="1" customWidth="1"/>
    <col min="8" max="8" width="14.140625" customWidth="1"/>
    <col min="9" max="9" width="25.5703125" bestFit="1" customWidth="1"/>
    <col min="10" max="10" width="22.140625" customWidth="1"/>
    <col min="11" max="11" width="19.5703125" customWidth="1"/>
    <col min="12" max="12" width="22.42578125" customWidth="1"/>
    <col min="13" max="13" width="17.140625" customWidth="1"/>
    <col min="14" max="14" width="23.28515625" customWidth="1"/>
    <col min="15" max="15" width="16.28515625" customWidth="1"/>
    <col min="16" max="16" width="17.7109375" customWidth="1"/>
  </cols>
  <sheetData>
    <row r="1" spans="1:16" ht="24.75" customHeight="1">
      <c r="A1" t="s">
        <v>24</v>
      </c>
      <c r="B1" t="s">
        <v>25</v>
      </c>
      <c r="C1" t="s">
        <v>0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s="2" t="s">
        <v>34</v>
      </c>
      <c r="M1" t="s">
        <v>35</v>
      </c>
      <c r="N1" t="s">
        <v>9</v>
      </c>
      <c r="O1" t="s">
        <v>10</v>
      </c>
      <c r="P1" s="6" t="s">
        <v>18</v>
      </c>
    </row>
    <row r="2" spans="1:16">
      <c r="A2" t="s">
        <v>36</v>
      </c>
      <c r="B2">
        <v>24</v>
      </c>
      <c r="C2" t="s">
        <v>4</v>
      </c>
      <c r="D2">
        <v>75.95</v>
      </c>
      <c r="E2">
        <v>2</v>
      </c>
      <c r="F2">
        <v>7.94</v>
      </c>
      <c r="G2">
        <v>52.36</v>
      </c>
      <c r="H2">
        <v>33.880000000000003</v>
      </c>
      <c r="I2">
        <v>9</v>
      </c>
      <c r="J2">
        <v>1</v>
      </c>
      <c r="K2">
        <f>(StudentData[[#This Row],[Midterm_Grade]]*40%)+(StudentData[[#This Row],[Final_Grade]]*60%)</f>
        <v>41.272000000000006</v>
      </c>
      <c r="L2">
        <f>StudentData[[#This Row],[Attendance_Percentage]]*40%+StudentData[[#This Row],[Assignments_Completed]]*2+StudentData[[#This Row],[Class_Participation]]*2+StudentData[[#This Row],[Projects_Submitted]]*4</f>
        <v>54.260000000000005</v>
      </c>
      <c r="M2">
        <f>StudentData[[#This Row],[Academic_Score]]*60%+StudentData[[#This Row],[Engagement_Score]]*30%+MIN(StudentData[[#This Row],[Study_Hours_per_Week]],20)/20*100*10%</f>
        <v>45.541200000000003</v>
      </c>
      <c r="N2" s="3" t="str" cm="1">
        <f t="array" ref="N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" s="3" t="str">
        <f t="shared" ref="O2:O65" si="0">IF(AND(D2&lt;60,K2&lt;50),"High Risk",IF(OR(D2&lt;70,K2&lt;60),"Medium Risk","Low Risk"))</f>
        <v>Medium Risk</v>
      </c>
      <c r="P2" s="3" t="str">
        <f t="shared" ref="P2:P65" si="1">IF(B2&lt;=20,"18-20",IF(B2&lt;=23,"21-23","24-25"))</f>
        <v>24-25</v>
      </c>
    </row>
    <row r="3" spans="1:16">
      <c r="A3" t="s">
        <v>37</v>
      </c>
      <c r="B3">
        <v>21</v>
      </c>
      <c r="C3" t="s">
        <v>4</v>
      </c>
      <c r="D3">
        <v>73.959999999999994</v>
      </c>
      <c r="E3">
        <v>3</v>
      </c>
      <c r="F3">
        <v>8.84</v>
      </c>
      <c r="G3">
        <v>28.23</v>
      </c>
      <c r="H3">
        <v>40.51</v>
      </c>
      <c r="I3">
        <v>2</v>
      </c>
      <c r="J3">
        <v>5</v>
      </c>
      <c r="K3">
        <f>(StudentData[[#This Row],[Midterm_Grade]]*40%)+(StudentData[[#This Row],[Final_Grade]]*60%)</f>
        <v>35.597999999999999</v>
      </c>
      <c r="L3">
        <f>StudentData[[#This Row],[Attendance_Percentage]]*40%+StudentData[[#This Row],[Assignments_Completed]]*2+StudentData[[#This Row],[Class_Participation]]*2+StudentData[[#This Row],[Projects_Submitted]]*4</f>
        <v>73.26400000000001</v>
      </c>
      <c r="M3">
        <f>StudentData[[#This Row],[Academic_Score]]*60%+StudentData[[#This Row],[Engagement_Score]]*30%+MIN(StudentData[[#This Row],[Study_Hours_per_Week]],20)/20*100*10%</f>
        <v>44.338000000000001</v>
      </c>
      <c r="N3" s="3" t="str" cm="1">
        <f t="array" ref="N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" s="3" t="str">
        <f t="shared" si="0"/>
        <v>Medium Risk</v>
      </c>
      <c r="P3" s="3" t="str">
        <f t="shared" si="1"/>
        <v>21-23</v>
      </c>
    </row>
    <row r="4" spans="1:16">
      <c r="A4" t="s">
        <v>38</v>
      </c>
      <c r="B4">
        <v>22</v>
      </c>
      <c r="C4" t="s">
        <v>5</v>
      </c>
      <c r="D4">
        <v>51.28</v>
      </c>
      <c r="E4">
        <v>6</v>
      </c>
      <c r="F4">
        <v>3.45</v>
      </c>
      <c r="G4">
        <v>29.81</v>
      </c>
      <c r="H4">
        <v>23.9</v>
      </c>
      <c r="I4">
        <v>19</v>
      </c>
      <c r="J4">
        <v>3</v>
      </c>
      <c r="K4">
        <f>(StudentData[[#This Row],[Midterm_Grade]]*40%)+(StudentData[[#This Row],[Final_Grade]]*60%)</f>
        <v>26.263999999999996</v>
      </c>
      <c r="L4">
        <f>StudentData[[#This Row],[Attendance_Percentage]]*40%+StudentData[[#This Row],[Assignments_Completed]]*2+StudentData[[#This Row],[Class_Participation]]*2+StudentData[[#This Row],[Projects_Submitted]]*4</f>
        <v>51.411999999999999</v>
      </c>
      <c r="M4">
        <f>StudentData[[#This Row],[Academic_Score]]*60%+StudentData[[#This Row],[Engagement_Score]]*30%+MIN(StudentData[[#This Row],[Study_Hours_per_Week]],20)/20*100*10%</f>
        <v>40.681999999999995</v>
      </c>
      <c r="N4" s="3" t="str" cm="1">
        <f t="array" ref="N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" s="3" t="str">
        <f t="shared" si="0"/>
        <v>High Risk</v>
      </c>
      <c r="P4" s="3" t="str">
        <f t="shared" si="1"/>
        <v>21-23</v>
      </c>
    </row>
    <row r="5" spans="1:16">
      <c r="A5" t="s">
        <v>39</v>
      </c>
      <c r="B5">
        <v>24</v>
      </c>
      <c r="C5" t="s">
        <v>4</v>
      </c>
      <c r="D5">
        <v>67.06</v>
      </c>
      <c r="E5">
        <v>2</v>
      </c>
      <c r="F5">
        <v>4.62</v>
      </c>
      <c r="G5">
        <v>27.78</v>
      </c>
      <c r="H5">
        <v>62.89</v>
      </c>
      <c r="I5">
        <v>9</v>
      </c>
      <c r="J5">
        <v>0</v>
      </c>
      <c r="K5">
        <f>(StudentData[[#This Row],[Midterm_Grade]]*40%)+(StudentData[[#This Row],[Final_Grade]]*60%)</f>
        <v>48.846000000000004</v>
      </c>
      <c r="L5">
        <f>StudentData[[#This Row],[Attendance_Percentage]]*40%+StudentData[[#This Row],[Assignments_Completed]]*2+StudentData[[#This Row],[Class_Participation]]*2+StudentData[[#This Row],[Projects_Submitted]]*4</f>
        <v>40.064</v>
      </c>
      <c r="M5">
        <f>StudentData[[#This Row],[Academic_Score]]*60%+StudentData[[#This Row],[Engagement_Score]]*30%+MIN(StudentData[[#This Row],[Study_Hours_per_Week]],20)/20*100*10%</f>
        <v>45.826799999999999</v>
      </c>
      <c r="N5" s="3" t="str" cm="1">
        <f t="array" ref="N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" s="3" t="str">
        <f t="shared" si="0"/>
        <v>Medium Risk</v>
      </c>
      <c r="P5" s="3" t="str">
        <f t="shared" si="1"/>
        <v>24-25</v>
      </c>
    </row>
    <row r="6" spans="1:16">
      <c r="A6" t="s">
        <v>40</v>
      </c>
      <c r="B6">
        <v>20</v>
      </c>
      <c r="C6" t="s">
        <v>4</v>
      </c>
      <c r="D6">
        <v>69.010000000000005</v>
      </c>
      <c r="E6">
        <v>8</v>
      </c>
      <c r="F6">
        <v>4.1500000000000004</v>
      </c>
      <c r="G6">
        <v>77.150000000000006</v>
      </c>
      <c r="H6">
        <v>64.040000000000006</v>
      </c>
      <c r="I6">
        <v>17</v>
      </c>
      <c r="J6">
        <v>0</v>
      </c>
      <c r="K6">
        <f>(StudentData[[#This Row],[Midterm_Grade]]*40%)+(StudentData[[#This Row],[Final_Grade]]*60%)</f>
        <v>69.284000000000006</v>
      </c>
      <c r="L6">
        <f>StudentData[[#This Row],[Attendance_Percentage]]*40%+StudentData[[#This Row],[Assignments_Completed]]*2+StudentData[[#This Row],[Class_Participation]]*2+StudentData[[#This Row],[Projects_Submitted]]*4</f>
        <v>51.903999999999996</v>
      </c>
      <c r="M6">
        <f>StudentData[[#This Row],[Academic_Score]]*60%+StudentData[[#This Row],[Engagement_Score]]*30%+MIN(StudentData[[#This Row],[Study_Hours_per_Week]],20)/20*100*10%</f>
        <v>65.641599999999997</v>
      </c>
      <c r="N6" s="3" t="str" cm="1">
        <f t="array" ref="N6">_xlfn.IFS(StudentData[[#This Row],[Success_Score]]&gt;=85,"Exceptional",StudentData[[#This Row],[Success_Score]]&gt;=70,"Strong",StudentData[[#This Row],[Success_Score]]&gt;=55,"Developing",TRUE,"Needs Improvement")</f>
        <v>Developing</v>
      </c>
      <c r="O6" s="3" t="str">
        <f t="shared" si="0"/>
        <v>Medium Risk</v>
      </c>
      <c r="P6" s="3" t="str">
        <f t="shared" si="1"/>
        <v>18-20</v>
      </c>
    </row>
    <row r="7" spans="1:16">
      <c r="A7" t="s">
        <v>41</v>
      </c>
      <c r="B7">
        <v>25</v>
      </c>
      <c r="C7" t="s">
        <v>5</v>
      </c>
      <c r="D7">
        <v>69.94</v>
      </c>
      <c r="E7">
        <v>7</v>
      </c>
      <c r="F7">
        <v>0.13</v>
      </c>
      <c r="G7">
        <v>65.19</v>
      </c>
      <c r="H7">
        <v>85.05</v>
      </c>
      <c r="I7">
        <v>13</v>
      </c>
      <c r="J7">
        <v>5</v>
      </c>
      <c r="K7">
        <f>(StudentData[[#This Row],[Midterm_Grade]]*40%)+(StudentData[[#This Row],[Final_Grade]]*60%)</f>
        <v>77.105999999999995</v>
      </c>
      <c r="L7">
        <f>StudentData[[#This Row],[Attendance_Percentage]]*40%+StudentData[[#This Row],[Assignments_Completed]]*2+StudentData[[#This Row],[Class_Participation]]*2+StudentData[[#This Row],[Projects_Submitted]]*4</f>
        <v>62.235999999999997</v>
      </c>
      <c r="M7">
        <f>StudentData[[#This Row],[Academic_Score]]*60%+StudentData[[#This Row],[Engagement_Score]]*30%+MIN(StudentData[[#This Row],[Study_Hours_per_Week]],20)/20*100*10%</f>
        <v>71.434399999999997</v>
      </c>
      <c r="N7" s="3" t="str" cm="1">
        <f t="array" ref="N7">_xlfn.IFS(StudentData[[#This Row],[Success_Score]]&gt;=85,"Exceptional",StudentData[[#This Row],[Success_Score]]&gt;=70,"Strong",StudentData[[#This Row],[Success_Score]]&gt;=55,"Developing",TRUE,"Needs Improvement")</f>
        <v>Strong</v>
      </c>
      <c r="O7" s="3" t="str">
        <f t="shared" si="0"/>
        <v>Medium Risk</v>
      </c>
      <c r="P7" s="3" t="str">
        <f t="shared" si="1"/>
        <v>24-25</v>
      </c>
    </row>
    <row r="8" spans="1:16">
      <c r="A8" t="s">
        <v>42</v>
      </c>
      <c r="B8">
        <v>22</v>
      </c>
      <c r="C8" t="s">
        <v>6</v>
      </c>
      <c r="D8">
        <v>79.010000000000005</v>
      </c>
      <c r="E8">
        <v>3</v>
      </c>
      <c r="F8">
        <v>2.96</v>
      </c>
      <c r="G8">
        <v>83.24</v>
      </c>
      <c r="H8">
        <v>74.09</v>
      </c>
      <c r="I8">
        <v>17</v>
      </c>
      <c r="J8">
        <v>0</v>
      </c>
      <c r="K8">
        <f>(StudentData[[#This Row],[Midterm_Grade]]*40%)+(StudentData[[#This Row],[Final_Grade]]*60%)</f>
        <v>77.75</v>
      </c>
      <c r="L8">
        <f>StudentData[[#This Row],[Attendance_Percentage]]*40%+StudentData[[#This Row],[Assignments_Completed]]*2+StudentData[[#This Row],[Class_Participation]]*2+StudentData[[#This Row],[Projects_Submitted]]*4</f>
        <v>43.524000000000001</v>
      </c>
      <c r="M8">
        <f>StudentData[[#This Row],[Academic_Score]]*60%+StudentData[[#This Row],[Engagement_Score]]*30%+MIN(StudentData[[#This Row],[Study_Hours_per_Week]],20)/20*100*10%</f>
        <v>68.2072</v>
      </c>
      <c r="N8" s="3" t="str" cm="1">
        <f t="array" ref="N8">_xlfn.IFS(StudentData[[#This Row],[Success_Score]]&gt;=85,"Exceptional",StudentData[[#This Row],[Success_Score]]&gt;=70,"Strong",StudentData[[#This Row],[Success_Score]]&gt;=55,"Developing",TRUE,"Needs Improvement")</f>
        <v>Developing</v>
      </c>
      <c r="O8" s="3" t="str">
        <f t="shared" si="0"/>
        <v>Low Risk</v>
      </c>
      <c r="P8" s="3" t="str">
        <f t="shared" si="1"/>
        <v>21-23</v>
      </c>
    </row>
    <row r="9" spans="1:16">
      <c r="A9" t="s">
        <v>43</v>
      </c>
      <c r="B9">
        <v>22</v>
      </c>
      <c r="C9" t="s">
        <v>4</v>
      </c>
      <c r="D9">
        <v>76.680000000000007</v>
      </c>
      <c r="E9">
        <v>0</v>
      </c>
      <c r="F9">
        <v>4.59</v>
      </c>
      <c r="G9">
        <v>97.55</v>
      </c>
      <c r="H9">
        <v>54.26</v>
      </c>
      <c r="I9">
        <v>7</v>
      </c>
      <c r="J9">
        <v>1</v>
      </c>
      <c r="K9">
        <f>(StudentData[[#This Row],[Midterm_Grade]]*40%)+(StudentData[[#This Row],[Final_Grade]]*60%)</f>
        <v>71.575999999999993</v>
      </c>
      <c r="L9">
        <f>StudentData[[#This Row],[Attendance_Percentage]]*40%+StudentData[[#This Row],[Assignments_Completed]]*2+StudentData[[#This Row],[Class_Participation]]*2+StudentData[[#This Row],[Projects_Submitted]]*4</f>
        <v>43.852000000000004</v>
      </c>
      <c r="M9">
        <f>StudentData[[#This Row],[Academic_Score]]*60%+StudentData[[#This Row],[Engagement_Score]]*30%+MIN(StudentData[[#This Row],[Study_Hours_per_Week]],20)/20*100*10%</f>
        <v>59.601199999999992</v>
      </c>
      <c r="N9" s="3" t="str" cm="1">
        <f t="array" ref="N9">_xlfn.IFS(StudentData[[#This Row],[Success_Score]]&gt;=85,"Exceptional",StudentData[[#This Row],[Success_Score]]&gt;=70,"Strong",StudentData[[#This Row],[Success_Score]]&gt;=55,"Developing",TRUE,"Needs Improvement")</f>
        <v>Developing</v>
      </c>
      <c r="O9" s="3" t="str">
        <f t="shared" si="0"/>
        <v>Low Risk</v>
      </c>
      <c r="P9" s="3" t="str">
        <f t="shared" si="1"/>
        <v>21-23</v>
      </c>
    </row>
    <row r="10" spans="1:16">
      <c r="A10" t="s">
        <v>44</v>
      </c>
      <c r="B10">
        <v>24</v>
      </c>
      <c r="C10" t="s">
        <v>6</v>
      </c>
      <c r="D10">
        <v>80.400000000000006</v>
      </c>
      <c r="E10">
        <v>0</v>
      </c>
      <c r="F10">
        <v>4.1100000000000003</v>
      </c>
      <c r="G10">
        <v>47.42</v>
      </c>
      <c r="H10">
        <v>65.36</v>
      </c>
      <c r="I10">
        <v>9</v>
      </c>
      <c r="J10">
        <v>0</v>
      </c>
      <c r="K10">
        <f>(StudentData[[#This Row],[Midterm_Grade]]*40%)+(StudentData[[#This Row],[Final_Grade]]*60%)</f>
        <v>58.183999999999997</v>
      </c>
      <c r="L10">
        <f>StudentData[[#This Row],[Attendance_Percentage]]*40%+StudentData[[#This Row],[Assignments_Completed]]*2+StudentData[[#This Row],[Class_Participation]]*2+StudentData[[#This Row],[Projects_Submitted]]*4</f>
        <v>40.380000000000003</v>
      </c>
      <c r="M10">
        <f>StudentData[[#This Row],[Academic_Score]]*60%+StudentData[[#This Row],[Engagement_Score]]*30%+MIN(StudentData[[#This Row],[Study_Hours_per_Week]],20)/20*100*10%</f>
        <v>51.5244</v>
      </c>
      <c r="N10" s="3" t="str" cm="1">
        <f t="array" ref="N1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0" s="3" t="str">
        <f t="shared" si="0"/>
        <v>Medium Risk</v>
      </c>
      <c r="P10" s="3" t="str">
        <f t="shared" si="1"/>
        <v>24-25</v>
      </c>
    </row>
    <row r="11" spans="1:16">
      <c r="A11" t="s">
        <v>45</v>
      </c>
      <c r="B11">
        <v>19</v>
      </c>
      <c r="C11" t="s">
        <v>4</v>
      </c>
      <c r="D11">
        <v>88.24</v>
      </c>
      <c r="E11">
        <v>0</v>
      </c>
      <c r="F11">
        <v>7.22</v>
      </c>
      <c r="G11">
        <v>6.67</v>
      </c>
      <c r="H11">
        <v>27.4</v>
      </c>
      <c r="I11">
        <v>12</v>
      </c>
      <c r="J11">
        <v>4</v>
      </c>
      <c r="K11">
        <f>(StudentData[[#This Row],[Midterm_Grade]]*40%)+(StudentData[[#This Row],[Final_Grade]]*60%)</f>
        <v>19.107999999999997</v>
      </c>
      <c r="L11">
        <f>StudentData[[#This Row],[Attendance_Percentage]]*40%+StudentData[[#This Row],[Assignments_Completed]]*2+StudentData[[#This Row],[Class_Participation]]*2+StudentData[[#This Row],[Projects_Submitted]]*4</f>
        <v>65.73599999999999</v>
      </c>
      <c r="M11">
        <f>StudentData[[#This Row],[Academic_Score]]*60%+StudentData[[#This Row],[Engagement_Score]]*30%+MIN(StudentData[[#This Row],[Study_Hours_per_Week]],20)/20*100*10%</f>
        <v>37.185599999999994</v>
      </c>
      <c r="N11" s="3" t="str" cm="1">
        <f t="array" ref="N1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1" s="3" t="str">
        <f t="shared" si="0"/>
        <v>Medium Risk</v>
      </c>
      <c r="P11" s="3" t="str">
        <f t="shared" si="1"/>
        <v>18-20</v>
      </c>
    </row>
    <row r="12" spans="1:16">
      <c r="A12" t="s">
        <v>46</v>
      </c>
      <c r="B12">
        <v>20</v>
      </c>
      <c r="C12" t="s">
        <v>4</v>
      </c>
      <c r="D12">
        <v>90.65</v>
      </c>
      <c r="E12">
        <v>0</v>
      </c>
      <c r="F12">
        <v>3.85</v>
      </c>
      <c r="G12">
        <v>4.8099999999999996</v>
      </c>
      <c r="H12">
        <v>59.31</v>
      </c>
      <c r="I12">
        <v>7</v>
      </c>
      <c r="J12">
        <v>4</v>
      </c>
      <c r="K12">
        <f>(StudentData[[#This Row],[Midterm_Grade]]*40%)+(StudentData[[#This Row],[Final_Grade]]*60%)</f>
        <v>37.51</v>
      </c>
      <c r="L12">
        <f>StudentData[[#This Row],[Attendance_Percentage]]*40%+StudentData[[#This Row],[Assignments_Completed]]*2+StudentData[[#This Row],[Class_Participation]]*2+StudentData[[#This Row],[Projects_Submitted]]*4</f>
        <v>59.960000000000008</v>
      </c>
      <c r="M12">
        <f>StudentData[[#This Row],[Academic_Score]]*60%+StudentData[[#This Row],[Engagement_Score]]*30%+MIN(StudentData[[#This Row],[Study_Hours_per_Week]],20)/20*100*10%</f>
        <v>43.994</v>
      </c>
      <c r="N12" s="3" t="str" cm="1">
        <f t="array" ref="N1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2" s="3" t="str">
        <f t="shared" si="0"/>
        <v>Medium Risk</v>
      </c>
      <c r="P12" s="3" t="str">
        <f t="shared" si="1"/>
        <v>18-20</v>
      </c>
    </row>
    <row r="13" spans="1:16">
      <c r="A13" t="s">
        <v>47</v>
      </c>
      <c r="B13">
        <v>24</v>
      </c>
      <c r="C13" t="s">
        <v>5</v>
      </c>
      <c r="D13">
        <v>85.91</v>
      </c>
      <c r="E13">
        <v>7</v>
      </c>
      <c r="F13">
        <v>4.8899999999999997</v>
      </c>
      <c r="G13">
        <v>29.57</v>
      </c>
      <c r="H13">
        <v>48.92</v>
      </c>
      <c r="I13">
        <v>3</v>
      </c>
      <c r="J13">
        <v>0</v>
      </c>
      <c r="K13">
        <f>(StudentData[[#This Row],[Midterm_Grade]]*40%)+(StudentData[[#This Row],[Final_Grade]]*60%)</f>
        <v>41.18</v>
      </c>
      <c r="L13">
        <f>StudentData[[#This Row],[Attendance_Percentage]]*40%+StudentData[[#This Row],[Assignments_Completed]]*2+StudentData[[#This Row],[Class_Participation]]*2+StudentData[[#This Row],[Projects_Submitted]]*4</f>
        <v>58.143999999999998</v>
      </c>
      <c r="M13">
        <f>StudentData[[#This Row],[Academic_Score]]*60%+StudentData[[#This Row],[Engagement_Score]]*30%+MIN(StudentData[[#This Row],[Study_Hours_per_Week]],20)/20*100*10%</f>
        <v>43.651199999999996</v>
      </c>
      <c r="N13" s="3" t="str" cm="1">
        <f t="array" ref="N1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3" s="3" t="str">
        <f t="shared" si="0"/>
        <v>Medium Risk</v>
      </c>
      <c r="P13" s="3" t="str">
        <f t="shared" si="1"/>
        <v>24-25</v>
      </c>
    </row>
    <row r="14" spans="1:16">
      <c r="A14" t="s">
        <v>48</v>
      </c>
      <c r="B14">
        <v>20</v>
      </c>
      <c r="C14" t="s">
        <v>6</v>
      </c>
      <c r="D14">
        <v>97.78</v>
      </c>
      <c r="E14">
        <v>2</v>
      </c>
      <c r="F14">
        <v>4.3</v>
      </c>
      <c r="G14">
        <v>93.25</v>
      </c>
      <c r="H14">
        <v>13.33</v>
      </c>
      <c r="I14">
        <v>3</v>
      </c>
      <c r="J14">
        <v>5</v>
      </c>
      <c r="K14">
        <f>(StudentData[[#This Row],[Midterm_Grade]]*40%)+(StudentData[[#This Row],[Final_Grade]]*60%)</f>
        <v>45.298000000000002</v>
      </c>
      <c r="L14">
        <f>StudentData[[#This Row],[Attendance_Percentage]]*40%+StudentData[[#This Row],[Assignments_Completed]]*2+StudentData[[#This Row],[Class_Participation]]*2+StudentData[[#This Row],[Projects_Submitted]]*4</f>
        <v>71.712000000000003</v>
      </c>
      <c r="M14">
        <f>StudentData[[#This Row],[Academic_Score]]*60%+StudentData[[#This Row],[Engagement_Score]]*30%+MIN(StudentData[[#This Row],[Study_Hours_per_Week]],20)/20*100*10%</f>
        <v>50.192399999999999</v>
      </c>
      <c r="N14" s="3" t="str" cm="1">
        <f t="array" ref="N1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4" s="3" t="str">
        <f t="shared" si="0"/>
        <v>Medium Risk</v>
      </c>
      <c r="P14" s="3" t="str">
        <f t="shared" si="1"/>
        <v>18-20</v>
      </c>
    </row>
    <row r="15" spans="1:16">
      <c r="A15" t="s">
        <v>49</v>
      </c>
      <c r="B15">
        <v>20</v>
      </c>
      <c r="C15" t="s">
        <v>4</v>
      </c>
      <c r="D15">
        <v>50.91</v>
      </c>
      <c r="E15">
        <v>5</v>
      </c>
      <c r="F15">
        <v>7.41</v>
      </c>
      <c r="G15">
        <v>52.32</v>
      </c>
      <c r="H15">
        <v>24.25</v>
      </c>
      <c r="I15">
        <v>4</v>
      </c>
      <c r="J15">
        <v>4</v>
      </c>
      <c r="K15">
        <f>(StudentData[[#This Row],[Midterm_Grade]]*40%)+(StudentData[[#This Row],[Final_Grade]]*60%)</f>
        <v>35.478000000000002</v>
      </c>
      <c r="L15">
        <f>StudentData[[#This Row],[Attendance_Percentage]]*40%+StudentData[[#This Row],[Assignments_Completed]]*2+StudentData[[#This Row],[Class_Participation]]*2+StudentData[[#This Row],[Projects_Submitted]]*4</f>
        <v>61.183999999999997</v>
      </c>
      <c r="M15">
        <f>StudentData[[#This Row],[Academic_Score]]*60%+StudentData[[#This Row],[Engagement_Score]]*30%+MIN(StudentData[[#This Row],[Study_Hours_per_Week]],20)/20*100*10%</f>
        <v>41.641999999999996</v>
      </c>
      <c r="N15" s="3" t="str" cm="1">
        <f t="array" ref="N1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5" s="3" t="str">
        <f t="shared" si="0"/>
        <v>High Risk</v>
      </c>
      <c r="P15" s="3" t="str">
        <f t="shared" si="1"/>
        <v>18-20</v>
      </c>
    </row>
    <row r="16" spans="1:16">
      <c r="A16" t="s">
        <v>50</v>
      </c>
      <c r="B16">
        <v>25</v>
      </c>
      <c r="C16" t="s">
        <v>5</v>
      </c>
      <c r="D16">
        <v>59.79</v>
      </c>
      <c r="E16">
        <v>2</v>
      </c>
      <c r="F16">
        <v>8.6300000000000008</v>
      </c>
      <c r="G16">
        <v>27.18</v>
      </c>
      <c r="H16">
        <v>29.17</v>
      </c>
      <c r="I16">
        <v>0</v>
      </c>
      <c r="J16">
        <v>3</v>
      </c>
      <c r="K16">
        <f>(StudentData[[#This Row],[Midterm_Grade]]*40%)+(StudentData[[#This Row],[Final_Grade]]*60%)</f>
        <v>28.373999999999999</v>
      </c>
      <c r="L16">
        <f>StudentData[[#This Row],[Attendance_Percentage]]*40%+StudentData[[#This Row],[Assignments_Completed]]*2+StudentData[[#This Row],[Class_Participation]]*2+StudentData[[#This Row],[Projects_Submitted]]*4</f>
        <v>57.176000000000002</v>
      </c>
      <c r="M16">
        <f>StudentData[[#This Row],[Academic_Score]]*60%+StudentData[[#This Row],[Engagement_Score]]*30%+MIN(StudentData[[#This Row],[Study_Hours_per_Week]],20)/20*100*10%</f>
        <v>34.177199999999999</v>
      </c>
      <c r="N16" s="3" t="str" cm="1">
        <f t="array" ref="N1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6" s="3" t="str">
        <f t="shared" si="0"/>
        <v>High Risk</v>
      </c>
      <c r="P16" s="3" t="str">
        <f t="shared" si="1"/>
        <v>24-25</v>
      </c>
    </row>
    <row r="17" spans="1:16">
      <c r="A17" t="s">
        <v>51</v>
      </c>
      <c r="B17">
        <v>22</v>
      </c>
      <c r="C17" t="s">
        <v>5</v>
      </c>
      <c r="D17">
        <v>50.38</v>
      </c>
      <c r="E17">
        <v>10</v>
      </c>
      <c r="F17">
        <v>5.32</v>
      </c>
      <c r="G17">
        <v>39.92</v>
      </c>
      <c r="H17">
        <v>92.43</v>
      </c>
      <c r="I17">
        <v>16</v>
      </c>
      <c r="J17">
        <v>4</v>
      </c>
      <c r="K17">
        <f>(StudentData[[#This Row],[Midterm_Grade]]*40%)+(StudentData[[#This Row],[Final_Grade]]*60%)</f>
        <v>71.426000000000002</v>
      </c>
      <c r="L17">
        <f>StudentData[[#This Row],[Attendance_Percentage]]*40%+StudentData[[#This Row],[Assignments_Completed]]*2+StudentData[[#This Row],[Class_Participation]]*2+StudentData[[#This Row],[Projects_Submitted]]*4</f>
        <v>66.792000000000002</v>
      </c>
      <c r="M17">
        <f>StudentData[[#This Row],[Academic_Score]]*60%+StudentData[[#This Row],[Engagement_Score]]*30%+MIN(StudentData[[#This Row],[Study_Hours_per_Week]],20)/20*100*10%</f>
        <v>70.893200000000007</v>
      </c>
      <c r="N17" s="3" t="str" cm="1">
        <f t="array" ref="N17">_xlfn.IFS(StudentData[[#This Row],[Success_Score]]&gt;=85,"Exceptional",StudentData[[#This Row],[Success_Score]]&gt;=70,"Strong",StudentData[[#This Row],[Success_Score]]&gt;=55,"Developing",TRUE,"Needs Improvement")</f>
        <v>Strong</v>
      </c>
      <c r="O17" s="3" t="str">
        <f t="shared" si="0"/>
        <v>Medium Risk</v>
      </c>
      <c r="P17" s="3" t="str">
        <f t="shared" si="1"/>
        <v>21-23</v>
      </c>
    </row>
    <row r="18" spans="1:16">
      <c r="A18" t="s">
        <v>52</v>
      </c>
      <c r="B18">
        <v>21</v>
      </c>
      <c r="C18" t="s">
        <v>5</v>
      </c>
      <c r="D18">
        <v>82.37</v>
      </c>
      <c r="E18">
        <v>4</v>
      </c>
      <c r="F18">
        <v>7.89</v>
      </c>
      <c r="G18">
        <v>59.86</v>
      </c>
      <c r="H18">
        <v>23.04</v>
      </c>
      <c r="I18">
        <v>1</v>
      </c>
      <c r="J18">
        <v>0</v>
      </c>
      <c r="K18">
        <f>(StudentData[[#This Row],[Midterm_Grade]]*40%)+(StudentData[[#This Row],[Final_Grade]]*60%)</f>
        <v>37.768000000000001</v>
      </c>
      <c r="L18">
        <f>StudentData[[#This Row],[Attendance_Percentage]]*40%+StudentData[[#This Row],[Assignments_Completed]]*2+StudentData[[#This Row],[Class_Participation]]*2+StudentData[[#This Row],[Projects_Submitted]]*4</f>
        <v>56.728000000000002</v>
      </c>
      <c r="M18">
        <f>StudentData[[#This Row],[Academic_Score]]*60%+StudentData[[#This Row],[Engagement_Score]]*30%+MIN(StudentData[[#This Row],[Study_Hours_per_Week]],20)/20*100*10%</f>
        <v>40.179199999999994</v>
      </c>
      <c r="N18" s="3" t="str" cm="1">
        <f t="array" ref="N1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8" s="3" t="str">
        <f t="shared" si="0"/>
        <v>Medium Risk</v>
      </c>
      <c r="P18" s="3" t="str">
        <f t="shared" si="1"/>
        <v>21-23</v>
      </c>
    </row>
    <row r="19" spans="1:16">
      <c r="A19" t="s">
        <v>53</v>
      </c>
      <c r="B19">
        <v>25</v>
      </c>
      <c r="C19" t="s">
        <v>4</v>
      </c>
      <c r="D19">
        <v>94.9</v>
      </c>
      <c r="E19">
        <v>6</v>
      </c>
      <c r="F19">
        <v>2.97</v>
      </c>
      <c r="G19">
        <v>65.290000000000006</v>
      </c>
      <c r="H19">
        <v>28.92</v>
      </c>
      <c r="I19">
        <v>7</v>
      </c>
      <c r="J19">
        <v>5</v>
      </c>
      <c r="K19">
        <f>(StudentData[[#This Row],[Midterm_Grade]]*40%)+(StudentData[[#This Row],[Final_Grade]]*60%)</f>
        <v>43.468000000000004</v>
      </c>
      <c r="L19">
        <f>StudentData[[#This Row],[Attendance_Percentage]]*40%+StudentData[[#This Row],[Assignments_Completed]]*2+StudentData[[#This Row],[Class_Participation]]*2+StudentData[[#This Row],[Projects_Submitted]]*4</f>
        <v>75.900000000000006</v>
      </c>
      <c r="M19">
        <f>StudentData[[#This Row],[Academic_Score]]*60%+StudentData[[#This Row],[Engagement_Score]]*30%+MIN(StudentData[[#This Row],[Study_Hours_per_Week]],20)/20*100*10%</f>
        <v>52.3508</v>
      </c>
      <c r="N19" s="3" t="str" cm="1">
        <f t="array" ref="N1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9" s="3" t="str">
        <f t="shared" si="0"/>
        <v>Medium Risk</v>
      </c>
      <c r="P19" s="3" t="str">
        <f t="shared" si="1"/>
        <v>24-25</v>
      </c>
    </row>
    <row r="20" spans="1:16">
      <c r="A20" t="s">
        <v>54</v>
      </c>
      <c r="B20">
        <v>25</v>
      </c>
      <c r="C20" t="s">
        <v>6</v>
      </c>
      <c r="D20">
        <v>62.17</v>
      </c>
      <c r="E20">
        <v>1</v>
      </c>
      <c r="F20">
        <v>5.41</v>
      </c>
      <c r="G20">
        <v>15.39</v>
      </c>
      <c r="H20">
        <v>36.94</v>
      </c>
      <c r="I20">
        <v>6</v>
      </c>
      <c r="J20">
        <v>2</v>
      </c>
      <c r="K20">
        <f>(StudentData[[#This Row],[Midterm_Grade]]*40%)+(StudentData[[#This Row],[Final_Grade]]*60%)</f>
        <v>28.32</v>
      </c>
      <c r="L20">
        <f>StudentData[[#This Row],[Attendance_Percentage]]*40%+StudentData[[#This Row],[Assignments_Completed]]*2+StudentData[[#This Row],[Class_Participation]]*2+StudentData[[#This Row],[Projects_Submitted]]*4</f>
        <v>45.688000000000002</v>
      </c>
      <c r="M20">
        <f>StudentData[[#This Row],[Academic_Score]]*60%+StudentData[[#This Row],[Engagement_Score]]*30%+MIN(StudentData[[#This Row],[Study_Hours_per_Week]],20)/20*100*10%</f>
        <v>33.698399999999999</v>
      </c>
      <c r="N20" s="3" t="str" cm="1">
        <f t="array" ref="N2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0" s="3" t="str">
        <f t="shared" si="0"/>
        <v>Medium Risk</v>
      </c>
      <c r="P20" s="3" t="str">
        <f t="shared" si="1"/>
        <v>24-25</v>
      </c>
    </row>
    <row r="21" spans="1:16">
      <c r="A21" t="s">
        <v>55</v>
      </c>
      <c r="B21">
        <v>20</v>
      </c>
      <c r="C21" t="s">
        <v>5</v>
      </c>
      <c r="D21">
        <v>96.35</v>
      </c>
      <c r="E21">
        <v>5</v>
      </c>
      <c r="F21">
        <v>3.45</v>
      </c>
      <c r="G21">
        <v>97.7</v>
      </c>
      <c r="H21">
        <v>66.37</v>
      </c>
      <c r="I21">
        <v>14</v>
      </c>
      <c r="J21">
        <v>5</v>
      </c>
      <c r="K21">
        <f>(StudentData[[#This Row],[Midterm_Grade]]*40%)+(StudentData[[#This Row],[Final_Grade]]*60%)</f>
        <v>78.902000000000015</v>
      </c>
      <c r="L21">
        <f>StudentData[[#This Row],[Attendance_Percentage]]*40%+StudentData[[#This Row],[Assignments_Completed]]*2+StudentData[[#This Row],[Class_Participation]]*2+StudentData[[#This Row],[Projects_Submitted]]*4</f>
        <v>75.44</v>
      </c>
      <c r="M21">
        <f>StudentData[[#This Row],[Academic_Score]]*60%+StudentData[[#This Row],[Engagement_Score]]*30%+MIN(StudentData[[#This Row],[Study_Hours_per_Week]],20)/20*100*10%</f>
        <v>76.973200000000006</v>
      </c>
      <c r="N21" s="3" t="str" cm="1">
        <f t="array" ref="N21">_xlfn.IFS(StudentData[[#This Row],[Success_Score]]&gt;=85,"Exceptional",StudentData[[#This Row],[Success_Score]]&gt;=70,"Strong",StudentData[[#This Row],[Success_Score]]&gt;=55,"Developing",TRUE,"Needs Improvement")</f>
        <v>Strong</v>
      </c>
      <c r="O21" s="3" t="str">
        <f t="shared" si="0"/>
        <v>Low Risk</v>
      </c>
      <c r="P21" s="3" t="str">
        <f t="shared" si="1"/>
        <v>18-20</v>
      </c>
    </row>
    <row r="22" spans="1:16">
      <c r="A22" t="s">
        <v>56</v>
      </c>
      <c r="B22">
        <v>23</v>
      </c>
      <c r="C22" t="s">
        <v>4</v>
      </c>
      <c r="D22">
        <v>53.01</v>
      </c>
      <c r="E22">
        <v>5</v>
      </c>
      <c r="F22">
        <v>4.1399999999999997</v>
      </c>
      <c r="G22">
        <v>54.48</v>
      </c>
      <c r="H22">
        <v>11.82</v>
      </c>
      <c r="I22">
        <v>4</v>
      </c>
      <c r="J22">
        <v>5</v>
      </c>
      <c r="K22">
        <f>(StudentData[[#This Row],[Midterm_Grade]]*40%)+(StudentData[[#This Row],[Final_Grade]]*60%)</f>
        <v>28.884</v>
      </c>
      <c r="L22">
        <f>StudentData[[#This Row],[Attendance_Percentage]]*40%+StudentData[[#This Row],[Assignments_Completed]]*2+StudentData[[#This Row],[Class_Participation]]*2+StudentData[[#This Row],[Projects_Submitted]]*4</f>
        <v>59.484000000000002</v>
      </c>
      <c r="M22">
        <f>StudentData[[#This Row],[Academic_Score]]*60%+StudentData[[#This Row],[Engagement_Score]]*30%+MIN(StudentData[[#This Row],[Study_Hours_per_Week]],20)/20*100*10%</f>
        <v>37.175600000000003</v>
      </c>
      <c r="N22" s="3" t="str" cm="1">
        <f t="array" ref="N2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2" s="3" t="str">
        <f t="shared" si="0"/>
        <v>High Risk</v>
      </c>
      <c r="P22" s="3" t="str">
        <f t="shared" si="1"/>
        <v>21-23</v>
      </c>
    </row>
    <row r="23" spans="1:16">
      <c r="A23" t="s">
        <v>57</v>
      </c>
      <c r="B23">
        <v>22</v>
      </c>
      <c r="C23" t="s">
        <v>5</v>
      </c>
      <c r="D23">
        <v>96.72</v>
      </c>
      <c r="E23">
        <v>10</v>
      </c>
      <c r="F23">
        <v>7.32</v>
      </c>
      <c r="G23">
        <v>13.57</v>
      </c>
      <c r="H23">
        <v>95.39</v>
      </c>
      <c r="I23">
        <v>1</v>
      </c>
      <c r="J23">
        <v>5</v>
      </c>
      <c r="K23">
        <f>(StudentData[[#This Row],[Midterm_Grade]]*40%)+(StudentData[[#This Row],[Final_Grade]]*60%)</f>
        <v>62.662000000000006</v>
      </c>
      <c r="L23">
        <f>StudentData[[#This Row],[Attendance_Percentage]]*40%+StudentData[[#This Row],[Assignments_Completed]]*2+StudentData[[#This Row],[Class_Participation]]*2+StudentData[[#This Row],[Projects_Submitted]]*4</f>
        <v>93.328000000000003</v>
      </c>
      <c r="M23">
        <f>StudentData[[#This Row],[Academic_Score]]*60%+StudentData[[#This Row],[Engagement_Score]]*30%+MIN(StudentData[[#This Row],[Study_Hours_per_Week]],20)/20*100*10%</f>
        <v>66.095600000000005</v>
      </c>
      <c r="N23" s="3" t="str" cm="1">
        <f t="array" ref="N23">_xlfn.IFS(StudentData[[#This Row],[Success_Score]]&gt;=85,"Exceptional",StudentData[[#This Row],[Success_Score]]&gt;=70,"Strong",StudentData[[#This Row],[Success_Score]]&gt;=55,"Developing",TRUE,"Needs Improvement")</f>
        <v>Developing</v>
      </c>
      <c r="O23" s="3" t="str">
        <f t="shared" si="0"/>
        <v>Low Risk</v>
      </c>
      <c r="P23" s="3" t="str">
        <f t="shared" si="1"/>
        <v>21-23</v>
      </c>
    </row>
    <row r="24" spans="1:16">
      <c r="A24" t="s">
        <v>58</v>
      </c>
      <c r="B24">
        <v>19</v>
      </c>
      <c r="C24" t="s">
        <v>6</v>
      </c>
      <c r="D24">
        <v>67.58</v>
      </c>
      <c r="E24">
        <v>2</v>
      </c>
      <c r="F24">
        <v>8.82</v>
      </c>
      <c r="G24">
        <v>89.36</v>
      </c>
      <c r="H24">
        <v>86.56</v>
      </c>
      <c r="I24">
        <v>6</v>
      </c>
      <c r="J24">
        <v>3</v>
      </c>
      <c r="K24">
        <f>(StudentData[[#This Row],[Midterm_Grade]]*40%)+(StudentData[[#This Row],[Final_Grade]]*60%)</f>
        <v>87.68</v>
      </c>
      <c r="L24">
        <f>StudentData[[#This Row],[Attendance_Percentage]]*40%+StudentData[[#This Row],[Assignments_Completed]]*2+StudentData[[#This Row],[Class_Participation]]*2+StudentData[[#This Row],[Projects_Submitted]]*4</f>
        <v>60.671999999999997</v>
      </c>
      <c r="M24">
        <f>StudentData[[#This Row],[Academic_Score]]*60%+StudentData[[#This Row],[Engagement_Score]]*30%+MIN(StudentData[[#This Row],[Study_Hours_per_Week]],20)/20*100*10%</f>
        <v>73.809600000000003</v>
      </c>
      <c r="N24" s="3" t="str" cm="1">
        <f t="array" ref="N24">_xlfn.IFS(StudentData[[#This Row],[Success_Score]]&gt;=85,"Exceptional",StudentData[[#This Row],[Success_Score]]&gt;=70,"Strong",StudentData[[#This Row],[Success_Score]]&gt;=55,"Developing",TRUE,"Needs Improvement")</f>
        <v>Strong</v>
      </c>
      <c r="O24" s="3" t="str">
        <f t="shared" si="0"/>
        <v>Medium Risk</v>
      </c>
      <c r="P24" s="3" t="str">
        <f t="shared" si="1"/>
        <v>18-20</v>
      </c>
    </row>
    <row r="25" spans="1:16">
      <c r="A25" t="s">
        <v>59</v>
      </c>
      <c r="B25">
        <v>25</v>
      </c>
      <c r="C25" t="s">
        <v>4</v>
      </c>
      <c r="D25">
        <v>55.07</v>
      </c>
      <c r="E25">
        <v>5</v>
      </c>
      <c r="F25">
        <v>1.21</v>
      </c>
      <c r="G25">
        <v>7.46</v>
      </c>
      <c r="H25">
        <v>57.72</v>
      </c>
      <c r="I25">
        <v>7</v>
      </c>
      <c r="J25">
        <v>1</v>
      </c>
      <c r="K25">
        <f>(StudentData[[#This Row],[Midterm_Grade]]*40%)+(StudentData[[#This Row],[Final_Grade]]*60%)</f>
        <v>37.616</v>
      </c>
      <c r="L25">
        <f>StudentData[[#This Row],[Attendance_Percentage]]*40%+StudentData[[#This Row],[Assignments_Completed]]*2+StudentData[[#This Row],[Class_Participation]]*2+StudentData[[#This Row],[Projects_Submitted]]*4</f>
        <v>38.448000000000008</v>
      </c>
      <c r="M25">
        <f>StudentData[[#This Row],[Academic_Score]]*60%+StudentData[[#This Row],[Engagement_Score]]*30%+MIN(StudentData[[#This Row],[Study_Hours_per_Week]],20)/20*100*10%</f>
        <v>37.603999999999999</v>
      </c>
      <c r="N25" s="3" t="str" cm="1">
        <f t="array" ref="N2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5" s="3" t="str">
        <f t="shared" si="0"/>
        <v>High Risk</v>
      </c>
      <c r="P25" s="3" t="str">
        <f t="shared" si="1"/>
        <v>24-25</v>
      </c>
    </row>
    <row r="26" spans="1:16">
      <c r="A26" t="s">
        <v>60</v>
      </c>
      <c r="B26">
        <v>21</v>
      </c>
      <c r="C26" t="s">
        <v>4</v>
      </c>
      <c r="D26">
        <v>74.290000000000006</v>
      </c>
      <c r="E26">
        <v>9</v>
      </c>
      <c r="F26">
        <v>6.35</v>
      </c>
      <c r="G26">
        <v>90.77</v>
      </c>
      <c r="H26">
        <v>67.400000000000006</v>
      </c>
      <c r="I26">
        <v>6</v>
      </c>
      <c r="J26">
        <v>0</v>
      </c>
      <c r="K26">
        <f>(StudentData[[#This Row],[Midterm_Grade]]*40%)+(StudentData[[#This Row],[Final_Grade]]*60%)</f>
        <v>76.748000000000005</v>
      </c>
      <c r="L26">
        <f>StudentData[[#This Row],[Attendance_Percentage]]*40%+StudentData[[#This Row],[Assignments_Completed]]*2+StudentData[[#This Row],[Class_Participation]]*2+StudentData[[#This Row],[Projects_Submitted]]*4</f>
        <v>60.416000000000011</v>
      </c>
      <c r="M26">
        <f>StudentData[[#This Row],[Academic_Score]]*60%+StudentData[[#This Row],[Engagement_Score]]*30%+MIN(StudentData[[#This Row],[Study_Hours_per_Week]],20)/20*100*10%</f>
        <v>67.173600000000008</v>
      </c>
      <c r="N26" s="3" t="str" cm="1">
        <f t="array" ref="N26">_xlfn.IFS(StudentData[[#This Row],[Success_Score]]&gt;=85,"Exceptional",StudentData[[#This Row],[Success_Score]]&gt;=70,"Strong",StudentData[[#This Row],[Success_Score]]&gt;=55,"Developing",TRUE,"Needs Improvement")</f>
        <v>Developing</v>
      </c>
      <c r="O26" s="3" t="str">
        <f t="shared" si="0"/>
        <v>Low Risk</v>
      </c>
      <c r="P26" s="3" t="str">
        <f t="shared" si="1"/>
        <v>21-23</v>
      </c>
    </row>
    <row r="27" spans="1:16">
      <c r="A27" t="s">
        <v>61</v>
      </c>
      <c r="B27">
        <v>23</v>
      </c>
      <c r="C27" t="s">
        <v>4</v>
      </c>
      <c r="D27">
        <v>62.84</v>
      </c>
      <c r="E27">
        <v>9</v>
      </c>
      <c r="F27">
        <v>5.82</v>
      </c>
      <c r="G27">
        <v>99.66</v>
      </c>
      <c r="H27">
        <v>1.67</v>
      </c>
      <c r="I27">
        <v>6</v>
      </c>
      <c r="J27">
        <v>1</v>
      </c>
      <c r="K27">
        <f>(StudentData[[#This Row],[Midterm_Grade]]*40%)+(StudentData[[#This Row],[Final_Grade]]*60%)</f>
        <v>40.866000000000007</v>
      </c>
      <c r="L27">
        <f>StudentData[[#This Row],[Attendance_Percentage]]*40%+StudentData[[#This Row],[Assignments_Completed]]*2+StudentData[[#This Row],[Class_Participation]]*2+StudentData[[#This Row],[Projects_Submitted]]*4</f>
        <v>58.776000000000003</v>
      </c>
      <c r="M27">
        <f>StudentData[[#This Row],[Academic_Score]]*60%+StudentData[[#This Row],[Engagement_Score]]*30%+MIN(StudentData[[#This Row],[Study_Hours_per_Week]],20)/20*100*10%</f>
        <v>45.1524</v>
      </c>
      <c r="N27" s="3" t="str" cm="1">
        <f t="array" ref="N2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7" s="3" t="str">
        <f t="shared" si="0"/>
        <v>Medium Risk</v>
      </c>
      <c r="P27" s="3" t="str">
        <f t="shared" si="1"/>
        <v>21-23</v>
      </c>
    </row>
    <row r="28" spans="1:16">
      <c r="A28" t="s">
        <v>62</v>
      </c>
      <c r="B28">
        <v>23</v>
      </c>
      <c r="C28" t="s">
        <v>5</v>
      </c>
      <c r="D28">
        <v>64.239999999999995</v>
      </c>
      <c r="E28">
        <v>4</v>
      </c>
      <c r="F28">
        <v>1.18</v>
      </c>
      <c r="G28">
        <v>70.040000000000006</v>
      </c>
      <c r="H28">
        <v>33.89</v>
      </c>
      <c r="I28">
        <v>13</v>
      </c>
      <c r="J28">
        <v>2</v>
      </c>
      <c r="K28">
        <f>(StudentData[[#This Row],[Midterm_Grade]]*40%)+(StudentData[[#This Row],[Final_Grade]]*60%)</f>
        <v>48.350000000000009</v>
      </c>
      <c r="L28">
        <f>StudentData[[#This Row],[Attendance_Percentage]]*40%+StudentData[[#This Row],[Assignments_Completed]]*2+StudentData[[#This Row],[Class_Participation]]*2+StudentData[[#This Row],[Projects_Submitted]]*4</f>
        <v>44.055999999999997</v>
      </c>
      <c r="M28">
        <f>StudentData[[#This Row],[Academic_Score]]*60%+StudentData[[#This Row],[Engagement_Score]]*30%+MIN(StudentData[[#This Row],[Study_Hours_per_Week]],20)/20*100*10%</f>
        <v>48.726800000000004</v>
      </c>
      <c r="N28" s="3" t="str" cm="1">
        <f t="array" ref="N2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8" s="3" t="str">
        <f t="shared" si="0"/>
        <v>Medium Risk</v>
      </c>
      <c r="P28" s="3" t="str">
        <f t="shared" si="1"/>
        <v>21-23</v>
      </c>
    </row>
    <row r="29" spans="1:16">
      <c r="A29" t="s">
        <v>63</v>
      </c>
      <c r="B29">
        <v>19</v>
      </c>
      <c r="C29" t="s">
        <v>5</v>
      </c>
      <c r="D29">
        <v>65.36</v>
      </c>
      <c r="E29">
        <v>1</v>
      </c>
      <c r="F29">
        <v>2.12</v>
      </c>
      <c r="G29">
        <v>77.040000000000006</v>
      </c>
      <c r="H29">
        <v>79.569999999999993</v>
      </c>
      <c r="I29">
        <v>17</v>
      </c>
      <c r="J29">
        <v>1</v>
      </c>
      <c r="K29">
        <f>(StudentData[[#This Row],[Midterm_Grade]]*40%)+(StudentData[[#This Row],[Final_Grade]]*60%)</f>
        <v>78.557999999999993</v>
      </c>
      <c r="L29">
        <f>StudentData[[#This Row],[Attendance_Percentage]]*40%+StudentData[[#This Row],[Assignments_Completed]]*2+StudentData[[#This Row],[Class_Participation]]*2+StudentData[[#This Row],[Projects_Submitted]]*4</f>
        <v>36.384</v>
      </c>
      <c r="M29">
        <f>StudentData[[#This Row],[Academic_Score]]*60%+StudentData[[#This Row],[Engagement_Score]]*30%+MIN(StudentData[[#This Row],[Study_Hours_per_Week]],20)/20*100*10%</f>
        <v>66.549999999999983</v>
      </c>
      <c r="N29" s="3" t="str" cm="1">
        <f t="array" ref="N29">_xlfn.IFS(StudentData[[#This Row],[Success_Score]]&gt;=85,"Exceptional",StudentData[[#This Row],[Success_Score]]&gt;=70,"Strong",StudentData[[#This Row],[Success_Score]]&gt;=55,"Developing",TRUE,"Needs Improvement")</f>
        <v>Developing</v>
      </c>
      <c r="O29" s="3" t="str">
        <f t="shared" si="0"/>
        <v>Medium Risk</v>
      </c>
      <c r="P29" s="3" t="str">
        <f t="shared" si="1"/>
        <v>18-20</v>
      </c>
    </row>
    <row r="30" spans="1:16">
      <c r="A30" t="s">
        <v>64</v>
      </c>
      <c r="B30">
        <v>25</v>
      </c>
      <c r="C30" t="s">
        <v>5</v>
      </c>
      <c r="D30">
        <v>90.15</v>
      </c>
      <c r="E30">
        <v>8</v>
      </c>
      <c r="F30">
        <v>3.11</v>
      </c>
      <c r="G30">
        <v>33.729999999999997</v>
      </c>
      <c r="H30">
        <v>7.75</v>
      </c>
      <c r="I30">
        <v>5</v>
      </c>
      <c r="J30">
        <v>0</v>
      </c>
      <c r="K30">
        <f>(StudentData[[#This Row],[Midterm_Grade]]*40%)+(StudentData[[#This Row],[Final_Grade]]*60%)</f>
        <v>18.141999999999999</v>
      </c>
      <c r="L30">
        <f>StudentData[[#This Row],[Attendance_Percentage]]*40%+StudentData[[#This Row],[Assignments_Completed]]*2+StudentData[[#This Row],[Class_Participation]]*2+StudentData[[#This Row],[Projects_Submitted]]*4</f>
        <v>58.28</v>
      </c>
      <c r="M30">
        <f>StudentData[[#This Row],[Academic_Score]]*60%+StudentData[[#This Row],[Engagement_Score]]*30%+MIN(StudentData[[#This Row],[Study_Hours_per_Week]],20)/20*100*10%</f>
        <v>30.869199999999999</v>
      </c>
      <c r="N30" s="3" t="str" cm="1">
        <f t="array" ref="N3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0" s="3" t="str">
        <f t="shared" si="0"/>
        <v>Medium Risk</v>
      </c>
      <c r="P30" s="3" t="str">
        <f t="shared" si="1"/>
        <v>24-25</v>
      </c>
    </row>
    <row r="31" spans="1:16">
      <c r="A31" t="s">
        <v>65</v>
      </c>
      <c r="B31">
        <v>21</v>
      </c>
      <c r="C31" t="s">
        <v>4</v>
      </c>
      <c r="D31">
        <v>76.959999999999994</v>
      </c>
      <c r="E31">
        <v>7</v>
      </c>
      <c r="F31">
        <v>1.67</v>
      </c>
      <c r="G31">
        <v>94.16</v>
      </c>
      <c r="H31">
        <v>28.23</v>
      </c>
      <c r="I31">
        <v>3</v>
      </c>
      <c r="J31">
        <v>0</v>
      </c>
      <c r="K31">
        <f>(StudentData[[#This Row],[Midterm_Grade]]*40%)+(StudentData[[#This Row],[Final_Grade]]*60%)</f>
        <v>54.602000000000004</v>
      </c>
      <c r="L31">
        <f>StudentData[[#This Row],[Attendance_Percentage]]*40%+StudentData[[#This Row],[Assignments_Completed]]*2+StudentData[[#This Row],[Class_Participation]]*2+StudentData[[#This Row],[Projects_Submitted]]*4</f>
        <v>48.123999999999995</v>
      </c>
      <c r="M31">
        <f>StudentData[[#This Row],[Academic_Score]]*60%+StudentData[[#This Row],[Engagement_Score]]*30%+MIN(StudentData[[#This Row],[Study_Hours_per_Week]],20)/20*100*10%</f>
        <v>48.698399999999999</v>
      </c>
      <c r="N31" s="3" t="str" cm="1">
        <f t="array" ref="N3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1" s="3" t="str">
        <f t="shared" si="0"/>
        <v>Medium Risk</v>
      </c>
      <c r="P31" s="3" t="str">
        <f t="shared" si="1"/>
        <v>21-23</v>
      </c>
    </row>
    <row r="32" spans="1:16">
      <c r="A32" t="s">
        <v>66</v>
      </c>
      <c r="B32">
        <v>22</v>
      </c>
      <c r="C32" t="s">
        <v>4</v>
      </c>
      <c r="D32">
        <v>65.569999999999993</v>
      </c>
      <c r="E32">
        <v>2</v>
      </c>
      <c r="F32">
        <v>2.44</v>
      </c>
      <c r="G32">
        <v>52.97</v>
      </c>
      <c r="H32">
        <v>58.53</v>
      </c>
      <c r="I32">
        <v>9</v>
      </c>
      <c r="J32">
        <v>2</v>
      </c>
      <c r="K32">
        <f>(StudentData[[#This Row],[Midterm_Grade]]*40%)+(StudentData[[#This Row],[Final_Grade]]*60%)</f>
        <v>56.306000000000004</v>
      </c>
      <c r="L32">
        <f>StudentData[[#This Row],[Attendance_Percentage]]*40%+StudentData[[#This Row],[Assignments_Completed]]*2+StudentData[[#This Row],[Class_Participation]]*2+StudentData[[#This Row],[Projects_Submitted]]*4</f>
        <v>43.107999999999997</v>
      </c>
      <c r="M32">
        <f>StudentData[[#This Row],[Academic_Score]]*60%+StudentData[[#This Row],[Engagement_Score]]*30%+MIN(StudentData[[#This Row],[Study_Hours_per_Week]],20)/20*100*10%</f>
        <v>51.216000000000001</v>
      </c>
      <c r="N32" s="3" t="str" cm="1">
        <f t="array" ref="N3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2" s="3" t="str">
        <f t="shared" si="0"/>
        <v>Medium Risk</v>
      </c>
      <c r="P32" s="3" t="str">
        <f t="shared" si="1"/>
        <v>21-23</v>
      </c>
    </row>
    <row r="33" spans="1:16">
      <c r="A33" t="s">
        <v>67</v>
      </c>
      <c r="B33">
        <v>18</v>
      </c>
      <c r="C33" t="s">
        <v>6</v>
      </c>
      <c r="D33">
        <v>80.52</v>
      </c>
      <c r="E33">
        <v>7</v>
      </c>
      <c r="F33">
        <v>2.68</v>
      </c>
      <c r="G33">
        <v>73.239999999999995</v>
      </c>
      <c r="H33">
        <v>25.64</v>
      </c>
      <c r="I33">
        <v>17</v>
      </c>
      <c r="J33">
        <v>0</v>
      </c>
      <c r="K33">
        <f>(StudentData[[#This Row],[Midterm_Grade]]*40%)+(StudentData[[#This Row],[Final_Grade]]*60%)</f>
        <v>44.68</v>
      </c>
      <c r="L33">
        <f>StudentData[[#This Row],[Attendance_Percentage]]*40%+StudentData[[#This Row],[Assignments_Completed]]*2+StudentData[[#This Row],[Class_Participation]]*2+StudentData[[#This Row],[Projects_Submitted]]*4</f>
        <v>51.567999999999998</v>
      </c>
      <c r="M33">
        <f>StudentData[[#This Row],[Academic_Score]]*60%+StudentData[[#This Row],[Engagement_Score]]*30%+MIN(StudentData[[#This Row],[Study_Hours_per_Week]],20)/20*100*10%</f>
        <v>50.778399999999998</v>
      </c>
      <c r="N33" s="3" t="str" cm="1">
        <f t="array" ref="N3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3" s="3" t="str">
        <f t="shared" si="0"/>
        <v>Medium Risk</v>
      </c>
      <c r="P33" s="3" t="str">
        <f t="shared" si="1"/>
        <v>18-20</v>
      </c>
    </row>
    <row r="34" spans="1:16">
      <c r="A34" t="s">
        <v>68</v>
      </c>
      <c r="B34">
        <v>21</v>
      </c>
      <c r="C34" t="s">
        <v>6</v>
      </c>
      <c r="D34">
        <v>85.81</v>
      </c>
      <c r="E34">
        <v>8</v>
      </c>
      <c r="F34">
        <v>3.36</v>
      </c>
      <c r="G34">
        <v>92.41</v>
      </c>
      <c r="H34">
        <v>93.4</v>
      </c>
      <c r="I34">
        <v>11</v>
      </c>
      <c r="J34">
        <v>2</v>
      </c>
      <c r="K34">
        <f>(StudentData[[#This Row],[Midterm_Grade]]*40%)+(StudentData[[#This Row],[Final_Grade]]*60%)</f>
        <v>93.003999999999991</v>
      </c>
      <c r="L34">
        <f>StudentData[[#This Row],[Attendance_Percentage]]*40%+StudentData[[#This Row],[Assignments_Completed]]*2+StudentData[[#This Row],[Class_Participation]]*2+StudentData[[#This Row],[Projects_Submitted]]*4</f>
        <v>65.044000000000011</v>
      </c>
      <c r="M34">
        <f>StudentData[[#This Row],[Academic_Score]]*60%+StudentData[[#This Row],[Engagement_Score]]*30%+MIN(StudentData[[#This Row],[Study_Hours_per_Week]],20)/20*100*10%</f>
        <v>80.815599999999989</v>
      </c>
      <c r="N34" s="3" t="str" cm="1">
        <f t="array" ref="N34">_xlfn.IFS(StudentData[[#This Row],[Success_Score]]&gt;=85,"Exceptional",StudentData[[#This Row],[Success_Score]]&gt;=70,"Strong",StudentData[[#This Row],[Success_Score]]&gt;=55,"Developing",TRUE,"Needs Improvement")</f>
        <v>Strong</v>
      </c>
      <c r="O34" s="3" t="str">
        <f t="shared" si="0"/>
        <v>Low Risk</v>
      </c>
      <c r="P34" s="3" t="str">
        <f t="shared" si="1"/>
        <v>21-23</v>
      </c>
    </row>
    <row r="35" spans="1:16">
      <c r="A35" t="s">
        <v>69</v>
      </c>
      <c r="B35">
        <v>19</v>
      </c>
      <c r="C35" t="s">
        <v>4</v>
      </c>
      <c r="D35">
        <v>63.63</v>
      </c>
      <c r="E35">
        <v>2</v>
      </c>
      <c r="F35">
        <v>7.49</v>
      </c>
      <c r="G35">
        <v>97.52</v>
      </c>
      <c r="H35">
        <v>13.11</v>
      </c>
      <c r="I35">
        <v>15</v>
      </c>
      <c r="J35">
        <v>2</v>
      </c>
      <c r="K35">
        <f>(StudentData[[#This Row],[Midterm_Grade]]*40%)+(StudentData[[#This Row],[Final_Grade]]*60%)</f>
        <v>46.874000000000002</v>
      </c>
      <c r="L35">
        <f>StudentData[[#This Row],[Attendance_Percentage]]*40%+StudentData[[#This Row],[Assignments_Completed]]*2+StudentData[[#This Row],[Class_Participation]]*2+StudentData[[#This Row],[Projects_Submitted]]*4</f>
        <v>52.432000000000002</v>
      </c>
      <c r="M35">
        <f>StudentData[[#This Row],[Academic_Score]]*60%+StudentData[[#This Row],[Engagement_Score]]*30%+MIN(StudentData[[#This Row],[Study_Hours_per_Week]],20)/20*100*10%</f>
        <v>51.353999999999999</v>
      </c>
      <c r="N35" s="3" t="str" cm="1">
        <f t="array" ref="N3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5" s="3" t="str">
        <f t="shared" si="0"/>
        <v>Medium Risk</v>
      </c>
      <c r="P35" s="3" t="str">
        <f t="shared" si="1"/>
        <v>18-20</v>
      </c>
    </row>
    <row r="36" spans="1:16">
      <c r="A36" t="s">
        <v>70</v>
      </c>
      <c r="B36">
        <v>23</v>
      </c>
      <c r="C36" t="s">
        <v>4</v>
      </c>
      <c r="D36">
        <v>70.680000000000007</v>
      </c>
      <c r="E36">
        <v>2</v>
      </c>
      <c r="F36">
        <v>5.72</v>
      </c>
      <c r="G36">
        <v>83.32</v>
      </c>
      <c r="H36">
        <v>79.739999999999995</v>
      </c>
      <c r="I36">
        <v>6</v>
      </c>
      <c r="J36">
        <v>0</v>
      </c>
      <c r="K36">
        <f>(StudentData[[#This Row],[Midterm_Grade]]*40%)+(StudentData[[#This Row],[Final_Grade]]*60%)</f>
        <v>81.171999999999997</v>
      </c>
      <c r="L36">
        <f>StudentData[[#This Row],[Attendance_Percentage]]*40%+StudentData[[#This Row],[Assignments_Completed]]*2+StudentData[[#This Row],[Class_Participation]]*2+StudentData[[#This Row],[Projects_Submitted]]*4</f>
        <v>43.712000000000003</v>
      </c>
      <c r="M36">
        <f>StudentData[[#This Row],[Academic_Score]]*60%+StudentData[[#This Row],[Engagement_Score]]*30%+MIN(StudentData[[#This Row],[Study_Hours_per_Week]],20)/20*100*10%</f>
        <v>64.816800000000001</v>
      </c>
      <c r="N36" s="3" t="str" cm="1">
        <f t="array" ref="N36">_xlfn.IFS(StudentData[[#This Row],[Success_Score]]&gt;=85,"Exceptional",StudentData[[#This Row],[Success_Score]]&gt;=70,"Strong",StudentData[[#This Row],[Success_Score]]&gt;=55,"Developing",TRUE,"Needs Improvement")</f>
        <v>Developing</v>
      </c>
      <c r="O36" s="3" t="str">
        <f t="shared" si="0"/>
        <v>Low Risk</v>
      </c>
      <c r="P36" s="3" t="str">
        <f t="shared" si="1"/>
        <v>21-23</v>
      </c>
    </row>
    <row r="37" spans="1:16">
      <c r="A37" t="s">
        <v>71</v>
      </c>
      <c r="B37">
        <v>22</v>
      </c>
      <c r="C37" t="s">
        <v>6</v>
      </c>
      <c r="D37">
        <v>56.09</v>
      </c>
      <c r="E37">
        <v>1</v>
      </c>
      <c r="F37">
        <v>9.86</v>
      </c>
      <c r="G37">
        <v>30.3</v>
      </c>
      <c r="H37">
        <v>50.79</v>
      </c>
      <c r="I37">
        <v>5</v>
      </c>
      <c r="J37">
        <v>4</v>
      </c>
      <c r="K37">
        <f>(StudentData[[#This Row],[Midterm_Grade]]*40%)+(StudentData[[#This Row],[Final_Grade]]*60%)</f>
        <v>42.593999999999994</v>
      </c>
      <c r="L37">
        <f>StudentData[[#This Row],[Attendance_Percentage]]*40%+StudentData[[#This Row],[Assignments_Completed]]*2+StudentData[[#This Row],[Class_Participation]]*2+StudentData[[#This Row],[Projects_Submitted]]*4</f>
        <v>60.156000000000006</v>
      </c>
      <c r="M37">
        <f>StudentData[[#This Row],[Academic_Score]]*60%+StudentData[[#This Row],[Engagement_Score]]*30%+MIN(StudentData[[#This Row],[Study_Hours_per_Week]],20)/20*100*10%</f>
        <v>46.103200000000001</v>
      </c>
      <c r="N37" s="3" t="str" cm="1">
        <f t="array" ref="N3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7" s="3" t="str">
        <f t="shared" si="0"/>
        <v>High Risk</v>
      </c>
      <c r="P37" s="3" t="str">
        <f t="shared" si="1"/>
        <v>21-23</v>
      </c>
    </row>
    <row r="38" spans="1:16">
      <c r="A38" t="s">
        <v>72</v>
      </c>
      <c r="B38">
        <v>21</v>
      </c>
      <c r="C38" t="s">
        <v>4</v>
      </c>
      <c r="D38">
        <v>59.06</v>
      </c>
      <c r="E38">
        <v>7</v>
      </c>
      <c r="F38">
        <v>4.1500000000000004</v>
      </c>
      <c r="G38">
        <v>96.65</v>
      </c>
      <c r="H38">
        <v>75.03</v>
      </c>
      <c r="I38">
        <v>4</v>
      </c>
      <c r="J38">
        <v>2</v>
      </c>
      <c r="K38">
        <f>(StudentData[[#This Row],[Midterm_Grade]]*40%)+(StudentData[[#This Row],[Final_Grade]]*60%)</f>
        <v>83.677999999999997</v>
      </c>
      <c r="L38">
        <f>StudentData[[#This Row],[Attendance_Percentage]]*40%+StudentData[[#This Row],[Assignments_Completed]]*2+StudentData[[#This Row],[Class_Participation]]*2+StudentData[[#This Row],[Projects_Submitted]]*4</f>
        <v>53.924000000000007</v>
      </c>
      <c r="M38">
        <f>StudentData[[#This Row],[Academic_Score]]*60%+StudentData[[#This Row],[Engagement_Score]]*30%+MIN(StudentData[[#This Row],[Study_Hours_per_Week]],20)/20*100*10%</f>
        <v>68.384</v>
      </c>
      <c r="N38" s="3" t="str" cm="1">
        <f t="array" ref="N38">_xlfn.IFS(StudentData[[#This Row],[Success_Score]]&gt;=85,"Exceptional",StudentData[[#This Row],[Success_Score]]&gt;=70,"Strong",StudentData[[#This Row],[Success_Score]]&gt;=55,"Developing",TRUE,"Needs Improvement")</f>
        <v>Developing</v>
      </c>
      <c r="O38" s="3" t="str">
        <f t="shared" si="0"/>
        <v>Medium Risk</v>
      </c>
      <c r="P38" s="3" t="str">
        <f t="shared" si="1"/>
        <v>21-23</v>
      </c>
    </row>
    <row r="39" spans="1:16">
      <c r="A39" t="s">
        <v>73</v>
      </c>
      <c r="B39">
        <v>18</v>
      </c>
      <c r="C39" t="s">
        <v>5</v>
      </c>
      <c r="D39">
        <v>84.06</v>
      </c>
      <c r="E39">
        <v>9</v>
      </c>
      <c r="F39">
        <v>7.54</v>
      </c>
      <c r="G39">
        <v>62.81</v>
      </c>
      <c r="H39">
        <v>31.07</v>
      </c>
      <c r="I39">
        <v>2</v>
      </c>
      <c r="J39">
        <v>0</v>
      </c>
      <c r="K39">
        <f>(StudentData[[#This Row],[Midterm_Grade]]*40%)+(StudentData[[#This Row],[Final_Grade]]*60%)</f>
        <v>43.766000000000005</v>
      </c>
      <c r="L39">
        <f>StudentData[[#This Row],[Attendance_Percentage]]*40%+StudentData[[#This Row],[Assignments_Completed]]*2+StudentData[[#This Row],[Class_Participation]]*2+StudentData[[#This Row],[Projects_Submitted]]*4</f>
        <v>66.704000000000008</v>
      </c>
      <c r="M39">
        <f>StudentData[[#This Row],[Academic_Score]]*60%+StudentData[[#This Row],[Engagement_Score]]*30%+MIN(StudentData[[#This Row],[Study_Hours_per_Week]],20)/20*100*10%</f>
        <v>47.270800000000008</v>
      </c>
      <c r="N39" s="3" t="str" cm="1">
        <f t="array" ref="N3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9" s="3" t="str">
        <f t="shared" si="0"/>
        <v>Medium Risk</v>
      </c>
      <c r="P39" s="3" t="str">
        <f t="shared" si="1"/>
        <v>18-20</v>
      </c>
    </row>
    <row r="40" spans="1:16">
      <c r="A40" t="s">
        <v>74</v>
      </c>
      <c r="B40">
        <v>18</v>
      </c>
      <c r="C40" t="s">
        <v>4</v>
      </c>
      <c r="D40">
        <v>59.07</v>
      </c>
      <c r="E40">
        <v>0</v>
      </c>
      <c r="F40">
        <v>8.7100000000000009</v>
      </c>
      <c r="G40">
        <v>93.06</v>
      </c>
      <c r="H40">
        <v>51.45</v>
      </c>
      <c r="I40">
        <v>11</v>
      </c>
      <c r="J40">
        <v>4</v>
      </c>
      <c r="K40">
        <f>(StudentData[[#This Row],[Midterm_Grade]]*40%)+(StudentData[[#This Row],[Final_Grade]]*60%)</f>
        <v>68.094000000000008</v>
      </c>
      <c r="L40">
        <f>StudentData[[#This Row],[Attendance_Percentage]]*40%+StudentData[[#This Row],[Assignments_Completed]]*2+StudentData[[#This Row],[Class_Participation]]*2+StudentData[[#This Row],[Projects_Submitted]]*4</f>
        <v>57.048000000000002</v>
      </c>
      <c r="M40">
        <f>StudentData[[#This Row],[Academic_Score]]*60%+StudentData[[#This Row],[Engagement_Score]]*30%+MIN(StudentData[[#This Row],[Study_Hours_per_Week]],20)/20*100*10%</f>
        <v>63.470799999999997</v>
      </c>
      <c r="N40" s="3" t="str" cm="1">
        <f t="array" ref="N40">_xlfn.IFS(StudentData[[#This Row],[Success_Score]]&gt;=85,"Exceptional",StudentData[[#This Row],[Success_Score]]&gt;=70,"Strong",StudentData[[#This Row],[Success_Score]]&gt;=55,"Developing",TRUE,"Needs Improvement")</f>
        <v>Developing</v>
      </c>
      <c r="O40" s="3" t="str">
        <f t="shared" si="0"/>
        <v>Medium Risk</v>
      </c>
      <c r="P40" s="3" t="str">
        <f t="shared" si="1"/>
        <v>18-20</v>
      </c>
    </row>
    <row r="41" spans="1:16">
      <c r="A41" t="s">
        <v>75</v>
      </c>
      <c r="B41">
        <v>20</v>
      </c>
      <c r="C41" t="s">
        <v>5</v>
      </c>
      <c r="D41">
        <v>76.260000000000005</v>
      </c>
      <c r="E41">
        <v>7</v>
      </c>
      <c r="F41">
        <v>6.79</v>
      </c>
      <c r="G41">
        <v>67.61</v>
      </c>
      <c r="H41">
        <v>85.68</v>
      </c>
      <c r="I41">
        <v>14</v>
      </c>
      <c r="J41">
        <v>2</v>
      </c>
      <c r="K41">
        <f>(StudentData[[#This Row],[Midterm_Grade]]*40%)+(StudentData[[#This Row],[Final_Grade]]*60%)</f>
        <v>78.451999999999998</v>
      </c>
      <c r="L41">
        <f>StudentData[[#This Row],[Attendance_Percentage]]*40%+StudentData[[#This Row],[Assignments_Completed]]*2+StudentData[[#This Row],[Class_Participation]]*2+StudentData[[#This Row],[Projects_Submitted]]*4</f>
        <v>66.084000000000003</v>
      </c>
      <c r="M41">
        <f>StudentData[[#This Row],[Academic_Score]]*60%+StudentData[[#This Row],[Engagement_Score]]*30%+MIN(StudentData[[#This Row],[Study_Hours_per_Week]],20)/20*100*10%</f>
        <v>73.8964</v>
      </c>
      <c r="N41" s="3" t="str" cm="1">
        <f t="array" ref="N41">_xlfn.IFS(StudentData[[#This Row],[Success_Score]]&gt;=85,"Exceptional",StudentData[[#This Row],[Success_Score]]&gt;=70,"Strong",StudentData[[#This Row],[Success_Score]]&gt;=55,"Developing",TRUE,"Needs Improvement")</f>
        <v>Strong</v>
      </c>
      <c r="O41" s="3" t="str">
        <f t="shared" si="0"/>
        <v>Low Risk</v>
      </c>
      <c r="P41" s="3" t="str">
        <f t="shared" si="1"/>
        <v>18-20</v>
      </c>
    </row>
    <row r="42" spans="1:16">
      <c r="A42" t="s">
        <v>76</v>
      </c>
      <c r="B42">
        <v>20</v>
      </c>
      <c r="C42" t="s">
        <v>6</v>
      </c>
      <c r="D42">
        <v>85.45</v>
      </c>
      <c r="E42">
        <v>6</v>
      </c>
      <c r="F42">
        <v>4.12</v>
      </c>
      <c r="G42">
        <v>30.72</v>
      </c>
      <c r="H42">
        <v>46.69</v>
      </c>
      <c r="I42">
        <v>9</v>
      </c>
      <c r="J42">
        <v>4</v>
      </c>
      <c r="K42">
        <f>(StudentData[[#This Row],[Midterm_Grade]]*40%)+(StudentData[[#This Row],[Final_Grade]]*60%)</f>
        <v>40.302</v>
      </c>
      <c r="L42">
        <f>StudentData[[#This Row],[Attendance_Percentage]]*40%+StudentData[[#This Row],[Assignments_Completed]]*2+StudentData[[#This Row],[Class_Participation]]*2+StudentData[[#This Row],[Projects_Submitted]]*4</f>
        <v>70.42</v>
      </c>
      <c r="M42">
        <f>StudentData[[#This Row],[Academic_Score]]*60%+StudentData[[#This Row],[Engagement_Score]]*30%+MIN(StudentData[[#This Row],[Study_Hours_per_Week]],20)/20*100*10%</f>
        <v>49.807200000000002</v>
      </c>
      <c r="N42" s="3" t="str" cm="1">
        <f t="array" ref="N4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2" s="3" t="str">
        <f t="shared" si="0"/>
        <v>Medium Risk</v>
      </c>
      <c r="P42" s="3" t="str">
        <f t="shared" si="1"/>
        <v>18-20</v>
      </c>
    </row>
    <row r="43" spans="1:16">
      <c r="A43" t="s">
        <v>77</v>
      </c>
      <c r="B43">
        <v>24</v>
      </c>
      <c r="C43" t="s">
        <v>4</v>
      </c>
      <c r="D43">
        <v>55.34</v>
      </c>
      <c r="E43">
        <v>6</v>
      </c>
      <c r="F43">
        <v>7.54</v>
      </c>
      <c r="G43">
        <v>37</v>
      </c>
      <c r="H43">
        <v>35.97</v>
      </c>
      <c r="I43">
        <v>19</v>
      </c>
      <c r="J43">
        <v>3</v>
      </c>
      <c r="K43">
        <f>(StudentData[[#This Row],[Midterm_Grade]]*40%)+(StudentData[[#This Row],[Final_Grade]]*60%)</f>
        <v>36.381999999999998</v>
      </c>
      <c r="L43">
        <f>StudentData[[#This Row],[Attendance_Percentage]]*40%+StudentData[[#This Row],[Assignments_Completed]]*2+StudentData[[#This Row],[Class_Participation]]*2+StudentData[[#This Row],[Projects_Submitted]]*4</f>
        <v>61.216000000000001</v>
      </c>
      <c r="M43">
        <f>StudentData[[#This Row],[Academic_Score]]*60%+StudentData[[#This Row],[Engagement_Score]]*30%+MIN(StudentData[[#This Row],[Study_Hours_per_Week]],20)/20*100*10%</f>
        <v>49.693999999999996</v>
      </c>
      <c r="N43" s="3" t="str" cm="1">
        <f t="array" ref="N4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3" s="3" t="str">
        <f t="shared" si="0"/>
        <v>High Risk</v>
      </c>
      <c r="P43" s="3" t="str">
        <f t="shared" si="1"/>
        <v>24-25</v>
      </c>
    </row>
    <row r="44" spans="1:16">
      <c r="A44" t="s">
        <v>78</v>
      </c>
      <c r="B44">
        <v>19</v>
      </c>
      <c r="C44" t="s">
        <v>5</v>
      </c>
      <c r="D44">
        <v>78.37</v>
      </c>
      <c r="E44">
        <v>2</v>
      </c>
      <c r="F44">
        <v>2.04</v>
      </c>
      <c r="G44">
        <v>55.05</v>
      </c>
      <c r="H44">
        <v>53.62</v>
      </c>
      <c r="I44">
        <v>18</v>
      </c>
      <c r="J44">
        <v>5</v>
      </c>
      <c r="K44">
        <f>(StudentData[[#This Row],[Midterm_Grade]]*40%)+(StudentData[[#This Row],[Final_Grade]]*60%)</f>
        <v>54.191999999999993</v>
      </c>
      <c r="L44">
        <f>StudentData[[#This Row],[Attendance_Percentage]]*40%+StudentData[[#This Row],[Assignments_Completed]]*2+StudentData[[#This Row],[Class_Participation]]*2+StudentData[[#This Row],[Projects_Submitted]]*4</f>
        <v>59.427999999999997</v>
      </c>
      <c r="M44">
        <f>StudentData[[#This Row],[Academic_Score]]*60%+StudentData[[#This Row],[Engagement_Score]]*30%+MIN(StudentData[[#This Row],[Study_Hours_per_Week]],20)/20*100*10%</f>
        <v>59.343599999999995</v>
      </c>
      <c r="N44" s="3" t="str" cm="1">
        <f t="array" ref="N44">_xlfn.IFS(StudentData[[#This Row],[Success_Score]]&gt;=85,"Exceptional",StudentData[[#This Row],[Success_Score]]&gt;=70,"Strong",StudentData[[#This Row],[Success_Score]]&gt;=55,"Developing",TRUE,"Needs Improvement")</f>
        <v>Developing</v>
      </c>
      <c r="O44" s="3" t="str">
        <f t="shared" si="0"/>
        <v>Medium Risk</v>
      </c>
      <c r="P44" s="3" t="str">
        <f t="shared" si="1"/>
        <v>18-20</v>
      </c>
    </row>
    <row r="45" spans="1:16">
      <c r="A45" t="s">
        <v>79</v>
      </c>
      <c r="B45">
        <v>25</v>
      </c>
      <c r="C45" t="s">
        <v>4</v>
      </c>
      <c r="D45">
        <v>62.83</v>
      </c>
      <c r="E45">
        <v>0</v>
      </c>
      <c r="F45">
        <v>3.28</v>
      </c>
      <c r="G45">
        <v>79</v>
      </c>
      <c r="H45">
        <v>71.739999999999995</v>
      </c>
      <c r="I45">
        <v>15</v>
      </c>
      <c r="J45">
        <v>3</v>
      </c>
      <c r="K45">
        <f>(StudentData[[#This Row],[Midterm_Grade]]*40%)+(StudentData[[#This Row],[Final_Grade]]*60%)</f>
        <v>74.644000000000005</v>
      </c>
      <c r="L45">
        <f>StudentData[[#This Row],[Attendance_Percentage]]*40%+StudentData[[#This Row],[Assignments_Completed]]*2+StudentData[[#This Row],[Class_Participation]]*2+StudentData[[#This Row],[Projects_Submitted]]*4</f>
        <v>43.692</v>
      </c>
      <c r="M45">
        <f>StudentData[[#This Row],[Academic_Score]]*60%+StudentData[[#This Row],[Engagement_Score]]*30%+MIN(StudentData[[#This Row],[Study_Hours_per_Week]],20)/20*100*10%</f>
        <v>65.394000000000005</v>
      </c>
      <c r="N45" s="3" t="str" cm="1">
        <f t="array" ref="N45">_xlfn.IFS(StudentData[[#This Row],[Success_Score]]&gt;=85,"Exceptional",StudentData[[#This Row],[Success_Score]]&gt;=70,"Strong",StudentData[[#This Row],[Success_Score]]&gt;=55,"Developing",TRUE,"Needs Improvement")</f>
        <v>Developing</v>
      </c>
      <c r="O45" s="3" t="str">
        <f t="shared" si="0"/>
        <v>Medium Risk</v>
      </c>
      <c r="P45" s="3" t="str">
        <f t="shared" si="1"/>
        <v>24-25</v>
      </c>
    </row>
    <row r="46" spans="1:16">
      <c r="A46" t="s">
        <v>80</v>
      </c>
      <c r="B46">
        <v>21</v>
      </c>
      <c r="C46" t="s">
        <v>4</v>
      </c>
      <c r="D46">
        <v>98.15</v>
      </c>
      <c r="E46">
        <v>3</v>
      </c>
      <c r="F46">
        <v>5.47</v>
      </c>
      <c r="G46">
        <v>31.8</v>
      </c>
      <c r="H46">
        <v>44.36</v>
      </c>
      <c r="I46">
        <v>10</v>
      </c>
      <c r="J46">
        <v>4</v>
      </c>
      <c r="K46">
        <f>(StudentData[[#This Row],[Midterm_Grade]]*40%)+(StudentData[[#This Row],[Final_Grade]]*60%)</f>
        <v>39.335999999999999</v>
      </c>
      <c r="L46">
        <f>StudentData[[#This Row],[Attendance_Percentage]]*40%+StudentData[[#This Row],[Assignments_Completed]]*2+StudentData[[#This Row],[Class_Participation]]*2+StudentData[[#This Row],[Projects_Submitted]]*4</f>
        <v>72.2</v>
      </c>
      <c r="M46">
        <f>StudentData[[#This Row],[Academic_Score]]*60%+StudentData[[#This Row],[Engagement_Score]]*30%+MIN(StudentData[[#This Row],[Study_Hours_per_Week]],20)/20*100*10%</f>
        <v>50.261600000000001</v>
      </c>
      <c r="N46" s="3" t="str" cm="1">
        <f t="array" ref="N4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6" s="3" t="str">
        <f t="shared" si="0"/>
        <v>Medium Risk</v>
      </c>
      <c r="P46" s="3" t="str">
        <f t="shared" si="1"/>
        <v>21-23</v>
      </c>
    </row>
    <row r="47" spans="1:16">
      <c r="A47" t="s">
        <v>81</v>
      </c>
      <c r="B47">
        <v>21</v>
      </c>
      <c r="C47" t="s">
        <v>5</v>
      </c>
      <c r="D47">
        <v>74.180000000000007</v>
      </c>
      <c r="E47">
        <v>8</v>
      </c>
      <c r="F47">
        <v>5.75</v>
      </c>
      <c r="G47">
        <v>57.97</v>
      </c>
      <c r="H47">
        <v>93.89</v>
      </c>
      <c r="I47">
        <v>7</v>
      </c>
      <c r="J47">
        <v>2</v>
      </c>
      <c r="K47">
        <f>(StudentData[[#This Row],[Midterm_Grade]]*40%)+(StudentData[[#This Row],[Final_Grade]]*60%)</f>
        <v>79.521999999999991</v>
      </c>
      <c r="L47">
        <f>StudentData[[#This Row],[Attendance_Percentage]]*40%+StudentData[[#This Row],[Assignments_Completed]]*2+StudentData[[#This Row],[Class_Participation]]*2+StudentData[[#This Row],[Projects_Submitted]]*4</f>
        <v>65.171999999999997</v>
      </c>
      <c r="M47">
        <f>StudentData[[#This Row],[Academic_Score]]*60%+StudentData[[#This Row],[Engagement_Score]]*30%+MIN(StudentData[[#This Row],[Study_Hours_per_Week]],20)/20*100*10%</f>
        <v>70.764799999999994</v>
      </c>
      <c r="N47" s="3" t="str" cm="1">
        <f t="array" ref="N47">_xlfn.IFS(StudentData[[#This Row],[Success_Score]]&gt;=85,"Exceptional",StudentData[[#This Row],[Success_Score]]&gt;=70,"Strong",StudentData[[#This Row],[Success_Score]]&gt;=55,"Developing",TRUE,"Needs Improvement")</f>
        <v>Strong</v>
      </c>
      <c r="O47" s="3" t="str">
        <f t="shared" si="0"/>
        <v>Low Risk</v>
      </c>
      <c r="P47" s="3" t="str">
        <f t="shared" si="1"/>
        <v>21-23</v>
      </c>
    </row>
    <row r="48" spans="1:16">
      <c r="A48" t="s">
        <v>82</v>
      </c>
      <c r="B48">
        <v>25</v>
      </c>
      <c r="C48" t="s">
        <v>5</v>
      </c>
      <c r="D48">
        <v>90.3</v>
      </c>
      <c r="E48">
        <v>4</v>
      </c>
      <c r="F48">
        <v>0.22</v>
      </c>
      <c r="G48">
        <v>34.56</v>
      </c>
      <c r="H48">
        <v>29.49</v>
      </c>
      <c r="I48">
        <v>2</v>
      </c>
      <c r="J48">
        <v>0</v>
      </c>
      <c r="K48">
        <f>(StudentData[[#This Row],[Midterm_Grade]]*40%)+(StudentData[[#This Row],[Final_Grade]]*60%)</f>
        <v>31.518000000000001</v>
      </c>
      <c r="L48">
        <f>StudentData[[#This Row],[Attendance_Percentage]]*40%+StudentData[[#This Row],[Assignments_Completed]]*2+StudentData[[#This Row],[Class_Participation]]*2+StudentData[[#This Row],[Projects_Submitted]]*4</f>
        <v>44.559999999999995</v>
      </c>
      <c r="M48">
        <f>StudentData[[#This Row],[Academic_Score]]*60%+StudentData[[#This Row],[Engagement_Score]]*30%+MIN(StudentData[[#This Row],[Study_Hours_per_Week]],20)/20*100*10%</f>
        <v>33.278799999999997</v>
      </c>
      <c r="N48" s="3" t="str" cm="1">
        <f t="array" ref="N4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8" s="3" t="str">
        <f t="shared" si="0"/>
        <v>Medium Risk</v>
      </c>
      <c r="P48" s="3" t="str">
        <f t="shared" si="1"/>
        <v>24-25</v>
      </c>
    </row>
    <row r="49" spans="1:16">
      <c r="A49" t="s">
        <v>83</v>
      </c>
      <c r="B49">
        <v>24</v>
      </c>
      <c r="C49" t="s">
        <v>4</v>
      </c>
      <c r="D49">
        <v>77.510000000000005</v>
      </c>
      <c r="E49">
        <v>0</v>
      </c>
      <c r="F49">
        <v>9.4499999999999993</v>
      </c>
      <c r="G49">
        <v>81.58</v>
      </c>
      <c r="H49">
        <v>47.55</v>
      </c>
      <c r="I49">
        <v>6</v>
      </c>
      <c r="J49">
        <v>1</v>
      </c>
      <c r="K49">
        <f>(StudentData[[#This Row],[Midterm_Grade]]*40%)+(StudentData[[#This Row],[Final_Grade]]*60%)</f>
        <v>61.161999999999992</v>
      </c>
      <c r="L49">
        <f>StudentData[[#This Row],[Attendance_Percentage]]*40%+StudentData[[#This Row],[Assignments_Completed]]*2+StudentData[[#This Row],[Class_Participation]]*2+StudentData[[#This Row],[Projects_Submitted]]*4</f>
        <v>53.904000000000003</v>
      </c>
      <c r="M49">
        <f>StudentData[[#This Row],[Academic_Score]]*60%+StudentData[[#This Row],[Engagement_Score]]*30%+MIN(StudentData[[#This Row],[Study_Hours_per_Week]],20)/20*100*10%</f>
        <v>55.868399999999994</v>
      </c>
      <c r="N49" s="3" t="str" cm="1">
        <f t="array" ref="N49">_xlfn.IFS(StudentData[[#This Row],[Success_Score]]&gt;=85,"Exceptional",StudentData[[#This Row],[Success_Score]]&gt;=70,"Strong",StudentData[[#This Row],[Success_Score]]&gt;=55,"Developing",TRUE,"Needs Improvement")</f>
        <v>Developing</v>
      </c>
      <c r="O49" s="3" t="str">
        <f t="shared" si="0"/>
        <v>Low Risk</v>
      </c>
      <c r="P49" s="3" t="str">
        <f t="shared" si="1"/>
        <v>24-25</v>
      </c>
    </row>
    <row r="50" spans="1:16">
      <c r="A50" t="s">
        <v>84</v>
      </c>
      <c r="B50">
        <v>23</v>
      </c>
      <c r="C50" t="s">
        <v>4</v>
      </c>
      <c r="D50">
        <v>52.17</v>
      </c>
      <c r="E50">
        <v>4</v>
      </c>
      <c r="F50">
        <v>6.97</v>
      </c>
      <c r="G50">
        <v>46.67</v>
      </c>
      <c r="H50">
        <v>75.69</v>
      </c>
      <c r="I50">
        <v>6</v>
      </c>
      <c r="J50">
        <v>0</v>
      </c>
      <c r="K50">
        <f>(StudentData[[#This Row],[Midterm_Grade]]*40%)+(StudentData[[#This Row],[Final_Grade]]*60%)</f>
        <v>64.081999999999994</v>
      </c>
      <c r="L50">
        <f>StudentData[[#This Row],[Attendance_Percentage]]*40%+StudentData[[#This Row],[Assignments_Completed]]*2+StudentData[[#This Row],[Class_Participation]]*2+StudentData[[#This Row],[Projects_Submitted]]*4</f>
        <v>42.808</v>
      </c>
      <c r="M50">
        <f>StudentData[[#This Row],[Academic_Score]]*60%+StudentData[[#This Row],[Engagement_Score]]*30%+MIN(StudentData[[#This Row],[Study_Hours_per_Week]],20)/20*100*10%</f>
        <v>54.291599999999995</v>
      </c>
      <c r="N50" s="3" t="str" cm="1">
        <f t="array" ref="N5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0" s="3" t="str">
        <f t="shared" si="0"/>
        <v>Medium Risk</v>
      </c>
      <c r="P50" s="3" t="str">
        <f t="shared" si="1"/>
        <v>21-23</v>
      </c>
    </row>
    <row r="51" spans="1:16">
      <c r="A51" t="s">
        <v>85</v>
      </c>
      <c r="B51">
        <v>23</v>
      </c>
      <c r="C51" t="s">
        <v>4</v>
      </c>
      <c r="D51">
        <v>81.66</v>
      </c>
      <c r="E51">
        <v>7</v>
      </c>
      <c r="F51">
        <v>4.96</v>
      </c>
      <c r="G51">
        <v>7.67</v>
      </c>
      <c r="H51">
        <v>68.91</v>
      </c>
      <c r="I51">
        <v>13</v>
      </c>
      <c r="J51">
        <v>1</v>
      </c>
      <c r="K51">
        <f>(StudentData[[#This Row],[Midterm_Grade]]*40%)+(StudentData[[#This Row],[Final_Grade]]*60%)</f>
        <v>44.413999999999994</v>
      </c>
      <c r="L51">
        <f>StudentData[[#This Row],[Attendance_Percentage]]*40%+StudentData[[#This Row],[Assignments_Completed]]*2+StudentData[[#This Row],[Class_Participation]]*2+StudentData[[#This Row],[Projects_Submitted]]*4</f>
        <v>60.584000000000003</v>
      </c>
      <c r="M51">
        <f>StudentData[[#This Row],[Academic_Score]]*60%+StudentData[[#This Row],[Engagement_Score]]*30%+MIN(StudentData[[#This Row],[Study_Hours_per_Week]],20)/20*100*10%</f>
        <v>51.323599999999999</v>
      </c>
      <c r="N51" s="3" t="str" cm="1">
        <f t="array" ref="N5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1" s="3" t="str">
        <f t="shared" si="0"/>
        <v>Medium Risk</v>
      </c>
      <c r="P51" s="3" t="str">
        <f t="shared" si="1"/>
        <v>21-23</v>
      </c>
    </row>
    <row r="52" spans="1:16">
      <c r="A52" t="s">
        <v>86</v>
      </c>
      <c r="B52">
        <v>24</v>
      </c>
      <c r="C52" t="s">
        <v>4</v>
      </c>
      <c r="D52">
        <v>97.57</v>
      </c>
      <c r="E52">
        <v>7</v>
      </c>
      <c r="F52">
        <v>9.33</v>
      </c>
      <c r="G52">
        <v>16.61</v>
      </c>
      <c r="H52">
        <v>86.36</v>
      </c>
      <c r="I52">
        <v>1</v>
      </c>
      <c r="J52">
        <v>1</v>
      </c>
      <c r="K52">
        <f>(StudentData[[#This Row],[Midterm_Grade]]*40%)+(StudentData[[#This Row],[Final_Grade]]*60%)</f>
        <v>58.459999999999994</v>
      </c>
      <c r="L52">
        <f>StudentData[[#This Row],[Attendance_Percentage]]*40%+StudentData[[#This Row],[Assignments_Completed]]*2+StudentData[[#This Row],[Class_Participation]]*2+StudentData[[#This Row],[Projects_Submitted]]*4</f>
        <v>75.688000000000002</v>
      </c>
      <c r="M52">
        <f>StudentData[[#This Row],[Academic_Score]]*60%+StudentData[[#This Row],[Engagement_Score]]*30%+MIN(StudentData[[#This Row],[Study_Hours_per_Week]],20)/20*100*10%</f>
        <v>58.282399999999996</v>
      </c>
      <c r="N52" s="3" t="str" cm="1">
        <f t="array" ref="N52">_xlfn.IFS(StudentData[[#This Row],[Success_Score]]&gt;=85,"Exceptional",StudentData[[#This Row],[Success_Score]]&gt;=70,"Strong",StudentData[[#This Row],[Success_Score]]&gt;=55,"Developing",TRUE,"Needs Improvement")</f>
        <v>Developing</v>
      </c>
      <c r="O52" s="3" t="str">
        <f t="shared" si="0"/>
        <v>Medium Risk</v>
      </c>
      <c r="P52" s="3" t="str">
        <f t="shared" si="1"/>
        <v>24-25</v>
      </c>
    </row>
    <row r="53" spans="1:16">
      <c r="A53" t="s">
        <v>87</v>
      </c>
      <c r="B53">
        <v>23</v>
      </c>
      <c r="C53" t="s">
        <v>4</v>
      </c>
      <c r="D53">
        <v>80.08</v>
      </c>
      <c r="E53">
        <v>4</v>
      </c>
      <c r="F53">
        <v>4.3899999999999997</v>
      </c>
      <c r="G53">
        <v>6.11</v>
      </c>
      <c r="H53">
        <v>99.68</v>
      </c>
      <c r="I53">
        <v>9</v>
      </c>
      <c r="J53">
        <v>2</v>
      </c>
      <c r="K53">
        <f>(StudentData[[#This Row],[Midterm_Grade]]*40%)+(StudentData[[#This Row],[Final_Grade]]*60%)</f>
        <v>62.252000000000002</v>
      </c>
      <c r="L53">
        <f>StudentData[[#This Row],[Attendance_Percentage]]*40%+StudentData[[#This Row],[Assignments_Completed]]*2+StudentData[[#This Row],[Class_Participation]]*2+StudentData[[#This Row],[Projects_Submitted]]*4</f>
        <v>56.812000000000005</v>
      </c>
      <c r="M53">
        <f>StudentData[[#This Row],[Academic_Score]]*60%+StudentData[[#This Row],[Engagement_Score]]*30%+MIN(StudentData[[#This Row],[Study_Hours_per_Week]],20)/20*100*10%</f>
        <v>58.894800000000004</v>
      </c>
      <c r="N53" s="3" t="str" cm="1">
        <f t="array" ref="N53">_xlfn.IFS(StudentData[[#This Row],[Success_Score]]&gt;=85,"Exceptional",StudentData[[#This Row],[Success_Score]]&gt;=70,"Strong",StudentData[[#This Row],[Success_Score]]&gt;=55,"Developing",TRUE,"Needs Improvement")</f>
        <v>Developing</v>
      </c>
      <c r="O53" s="3" t="str">
        <f t="shared" si="0"/>
        <v>Low Risk</v>
      </c>
      <c r="P53" s="3" t="str">
        <f t="shared" si="1"/>
        <v>21-23</v>
      </c>
    </row>
    <row r="54" spans="1:16">
      <c r="A54" t="s">
        <v>88</v>
      </c>
      <c r="B54">
        <v>20</v>
      </c>
      <c r="C54" t="s">
        <v>4</v>
      </c>
      <c r="D54">
        <v>90.96</v>
      </c>
      <c r="E54">
        <v>8</v>
      </c>
      <c r="F54">
        <v>9.8000000000000007</v>
      </c>
      <c r="G54">
        <v>49.93</v>
      </c>
      <c r="H54">
        <v>42.69</v>
      </c>
      <c r="I54">
        <v>18</v>
      </c>
      <c r="J54">
        <v>4</v>
      </c>
      <c r="K54">
        <f>(StudentData[[#This Row],[Midterm_Grade]]*40%)+(StudentData[[#This Row],[Final_Grade]]*60%)</f>
        <v>45.585999999999999</v>
      </c>
      <c r="L54">
        <f>StudentData[[#This Row],[Attendance_Percentage]]*40%+StudentData[[#This Row],[Assignments_Completed]]*2+StudentData[[#This Row],[Class_Participation]]*2+StudentData[[#This Row],[Projects_Submitted]]*4</f>
        <v>87.984000000000009</v>
      </c>
      <c r="M54">
        <f>StudentData[[#This Row],[Academic_Score]]*60%+StudentData[[#This Row],[Engagement_Score]]*30%+MIN(StudentData[[#This Row],[Study_Hours_per_Week]],20)/20*100*10%</f>
        <v>62.7468</v>
      </c>
      <c r="N54" s="3" t="str" cm="1">
        <f t="array" ref="N54">_xlfn.IFS(StudentData[[#This Row],[Success_Score]]&gt;=85,"Exceptional",StudentData[[#This Row],[Success_Score]]&gt;=70,"Strong",StudentData[[#This Row],[Success_Score]]&gt;=55,"Developing",TRUE,"Needs Improvement")</f>
        <v>Developing</v>
      </c>
      <c r="O54" s="3" t="str">
        <f t="shared" si="0"/>
        <v>Medium Risk</v>
      </c>
      <c r="P54" s="3" t="str">
        <f t="shared" si="1"/>
        <v>18-20</v>
      </c>
    </row>
    <row r="55" spans="1:16">
      <c r="A55" t="s">
        <v>89</v>
      </c>
      <c r="B55">
        <v>21</v>
      </c>
      <c r="C55" t="s">
        <v>4</v>
      </c>
      <c r="D55">
        <v>94.21</v>
      </c>
      <c r="E55">
        <v>0</v>
      </c>
      <c r="F55">
        <v>5.12</v>
      </c>
      <c r="G55">
        <v>10.63</v>
      </c>
      <c r="H55">
        <v>11.12</v>
      </c>
      <c r="I55">
        <v>8</v>
      </c>
      <c r="J55">
        <v>0</v>
      </c>
      <c r="K55">
        <f>(StudentData[[#This Row],[Midterm_Grade]]*40%)+(StudentData[[#This Row],[Final_Grade]]*60%)</f>
        <v>10.923999999999999</v>
      </c>
      <c r="L55">
        <f>StudentData[[#This Row],[Attendance_Percentage]]*40%+StudentData[[#This Row],[Assignments_Completed]]*2+StudentData[[#This Row],[Class_Participation]]*2+StudentData[[#This Row],[Projects_Submitted]]*4</f>
        <v>47.923999999999999</v>
      </c>
      <c r="M55">
        <f>StudentData[[#This Row],[Academic_Score]]*60%+StudentData[[#This Row],[Engagement_Score]]*30%+MIN(StudentData[[#This Row],[Study_Hours_per_Week]],20)/20*100*10%</f>
        <v>24.9316</v>
      </c>
      <c r="N55" s="3" t="str" cm="1">
        <f t="array" ref="N5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5" s="3" t="str">
        <f t="shared" si="0"/>
        <v>Medium Risk</v>
      </c>
      <c r="P55" s="3" t="str">
        <f t="shared" si="1"/>
        <v>21-23</v>
      </c>
    </row>
    <row r="56" spans="1:16">
      <c r="A56" t="s">
        <v>90</v>
      </c>
      <c r="B56">
        <v>24</v>
      </c>
      <c r="C56" t="s">
        <v>4</v>
      </c>
      <c r="D56">
        <v>61.4</v>
      </c>
      <c r="E56">
        <v>3</v>
      </c>
      <c r="F56">
        <v>1.1399999999999999</v>
      </c>
      <c r="G56">
        <v>11.41</v>
      </c>
      <c r="H56">
        <v>3.04</v>
      </c>
      <c r="I56">
        <v>15</v>
      </c>
      <c r="J56">
        <v>4</v>
      </c>
      <c r="K56">
        <f>(StudentData[[#This Row],[Midterm_Grade]]*40%)+(StudentData[[#This Row],[Final_Grade]]*60%)</f>
        <v>6.3879999999999999</v>
      </c>
      <c r="L56">
        <f>StudentData[[#This Row],[Attendance_Percentage]]*40%+StudentData[[#This Row],[Assignments_Completed]]*2+StudentData[[#This Row],[Class_Participation]]*2+StudentData[[#This Row],[Projects_Submitted]]*4</f>
        <v>48.84</v>
      </c>
      <c r="M56">
        <f>StudentData[[#This Row],[Academic_Score]]*60%+StudentData[[#This Row],[Engagement_Score]]*30%+MIN(StudentData[[#This Row],[Study_Hours_per_Week]],20)/20*100*10%</f>
        <v>25.9848</v>
      </c>
      <c r="N56" s="3" t="str" cm="1">
        <f t="array" ref="N5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6" s="3" t="str">
        <f t="shared" si="0"/>
        <v>Medium Risk</v>
      </c>
      <c r="P56" s="3" t="str">
        <f t="shared" si="1"/>
        <v>24-25</v>
      </c>
    </row>
    <row r="57" spans="1:16">
      <c r="A57" t="s">
        <v>91</v>
      </c>
      <c r="B57">
        <v>21</v>
      </c>
      <c r="C57" t="s">
        <v>5</v>
      </c>
      <c r="D57">
        <v>60.6</v>
      </c>
      <c r="E57">
        <v>2</v>
      </c>
      <c r="F57">
        <v>7.65</v>
      </c>
      <c r="G57">
        <v>94.1</v>
      </c>
      <c r="H57">
        <v>72.69</v>
      </c>
      <c r="I57">
        <v>18</v>
      </c>
      <c r="J57">
        <v>3</v>
      </c>
      <c r="K57">
        <f>(StudentData[[#This Row],[Midterm_Grade]]*40%)+(StudentData[[#This Row],[Final_Grade]]*60%)</f>
        <v>81.253999999999991</v>
      </c>
      <c r="L57">
        <f>StudentData[[#This Row],[Attendance_Percentage]]*40%+StudentData[[#This Row],[Assignments_Completed]]*2+StudentData[[#This Row],[Class_Participation]]*2+StudentData[[#This Row],[Projects_Submitted]]*4</f>
        <v>55.540000000000006</v>
      </c>
      <c r="M57">
        <f>StudentData[[#This Row],[Academic_Score]]*60%+StudentData[[#This Row],[Engagement_Score]]*30%+MIN(StudentData[[#This Row],[Study_Hours_per_Week]],20)/20*100*10%</f>
        <v>74.414400000000001</v>
      </c>
      <c r="N57" s="3" t="str" cm="1">
        <f t="array" ref="N57">_xlfn.IFS(StudentData[[#This Row],[Success_Score]]&gt;=85,"Exceptional",StudentData[[#This Row],[Success_Score]]&gt;=70,"Strong",StudentData[[#This Row],[Success_Score]]&gt;=55,"Developing",TRUE,"Needs Improvement")</f>
        <v>Strong</v>
      </c>
      <c r="O57" s="3" t="str">
        <f t="shared" si="0"/>
        <v>Medium Risk</v>
      </c>
      <c r="P57" s="3" t="str">
        <f t="shared" si="1"/>
        <v>21-23</v>
      </c>
    </row>
    <row r="58" spans="1:16">
      <c r="A58" t="s">
        <v>92</v>
      </c>
      <c r="B58">
        <v>25</v>
      </c>
      <c r="C58" t="s">
        <v>5</v>
      </c>
      <c r="D58">
        <v>80.55</v>
      </c>
      <c r="E58">
        <v>1</v>
      </c>
      <c r="F58">
        <v>6.79</v>
      </c>
      <c r="G58">
        <v>87.27</v>
      </c>
      <c r="H58">
        <v>87.4</v>
      </c>
      <c r="I58">
        <v>17</v>
      </c>
      <c r="J58">
        <v>2</v>
      </c>
      <c r="K58">
        <f>(StudentData[[#This Row],[Midterm_Grade]]*40%)+(StudentData[[#This Row],[Final_Grade]]*60%)</f>
        <v>87.348000000000013</v>
      </c>
      <c r="L58">
        <f>StudentData[[#This Row],[Attendance_Percentage]]*40%+StudentData[[#This Row],[Assignments_Completed]]*2+StudentData[[#This Row],[Class_Participation]]*2+StudentData[[#This Row],[Projects_Submitted]]*4</f>
        <v>55.8</v>
      </c>
      <c r="M58">
        <f>StudentData[[#This Row],[Academic_Score]]*60%+StudentData[[#This Row],[Engagement_Score]]*30%+MIN(StudentData[[#This Row],[Study_Hours_per_Week]],20)/20*100*10%</f>
        <v>77.648800000000008</v>
      </c>
      <c r="N58" s="3" t="str" cm="1">
        <f t="array" ref="N58">_xlfn.IFS(StudentData[[#This Row],[Success_Score]]&gt;=85,"Exceptional",StudentData[[#This Row],[Success_Score]]&gt;=70,"Strong",StudentData[[#This Row],[Success_Score]]&gt;=55,"Developing",TRUE,"Needs Improvement")</f>
        <v>Strong</v>
      </c>
      <c r="O58" s="3" t="str">
        <f t="shared" si="0"/>
        <v>Low Risk</v>
      </c>
      <c r="P58" s="3" t="str">
        <f t="shared" si="1"/>
        <v>24-25</v>
      </c>
    </row>
    <row r="59" spans="1:16">
      <c r="A59" t="s">
        <v>93</v>
      </c>
      <c r="B59">
        <v>18</v>
      </c>
      <c r="C59" t="s">
        <v>5</v>
      </c>
      <c r="D59">
        <v>70.55</v>
      </c>
      <c r="E59">
        <v>7</v>
      </c>
      <c r="F59">
        <v>7.73</v>
      </c>
      <c r="G59">
        <v>45.21</v>
      </c>
      <c r="H59">
        <v>22.07</v>
      </c>
      <c r="I59">
        <v>8</v>
      </c>
      <c r="J59">
        <v>2</v>
      </c>
      <c r="K59">
        <f>(StudentData[[#This Row],[Midterm_Grade]]*40%)+(StudentData[[#This Row],[Final_Grade]]*60%)</f>
        <v>31.326000000000001</v>
      </c>
      <c r="L59">
        <f>StudentData[[#This Row],[Attendance_Percentage]]*40%+StudentData[[#This Row],[Assignments_Completed]]*2+StudentData[[#This Row],[Class_Participation]]*2+StudentData[[#This Row],[Projects_Submitted]]*4</f>
        <v>65.680000000000007</v>
      </c>
      <c r="M59">
        <f>StudentData[[#This Row],[Academic_Score]]*60%+StudentData[[#This Row],[Engagement_Score]]*30%+MIN(StudentData[[#This Row],[Study_Hours_per_Week]],20)/20*100*10%</f>
        <v>42.499600000000001</v>
      </c>
      <c r="N59" s="3" t="str" cm="1">
        <f t="array" ref="N5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9" s="3" t="str">
        <f t="shared" si="0"/>
        <v>Medium Risk</v>
      </c>
      <c r="P59" s="3" t="str">
        <f t="shared" si="1"/>
        <v>18-20</v>
      </c>
    </row>
    <row r="60" spans="1:16">
      <c r="A60" t="s">
        <v>94</v>
      </c>
      <c r="B60">
        <v>20</v>
      </c>
      <c r="C60" t="s">
        <v>4</v>
      </c>
      <c r="D60">
        <v>91.99</v>
      </c>
      <c r="E60">
        <v>6</v>
      </c>
      <c r="F60">
        <v>9.51</v>
      </c>
      <c r="G60">
        <v>98.58</v>
      </c>
      <c r="H60">
        <v>15.84</v>
      </c>
      <c r="I60">
        <v>15</v>
      </c>
      <c r="J60">
        <v>3</v>
      </c>
      <c r="K60">
        <f>(StudentData[[#This Row],[Midterm_Grade]]*40%)+(StudentData[[#This Row],[Final_Grade]]*60%)</f>
        <v>48.936</v>
      </c>
      <c r="L60">
        <f>StudentData[[#This Row],[Attendance_Percentage]]*40%+StudentData[[#This Row],[Assignments_Completed]]*2+StudentData[[#This Row],[Class_Participation]]*2+StudentData[[#This Row],[Projects_Submitted]]*4</f>
        <v>79.816000000000003</v>
      </c>
      <c r="M60">
        <f>StudentData[[#This Row],[Academic_Score]]*60%+StudentData[[#This Row],[Engagement_Score]]*30%+MIN(StudentData[[#This Row],[Study_Hours_per_Week]],20)/20*100*10%</f>
        <v>60.806399999999996</v>
      </c>
      <c r="N60" s="3" t="str" cm="1">
        <f t="array" ref="N60">_xlfn.IFS(StudentData[[#This Row],[Success_Score]]&gt;=85,"Exceptional",StudentData[[#This Row],[Success_Score]]&gt;=70,"Strong",StudentData[[#This Row],[Success_Score]]&gt;=55,"Developing",TRUE,"Needs Improvement")</f>
        <v>Developing</v>
      </c>
      <c r="O60" s="3" t="str">
        <f t="shared" si="0"/>
        <v>Medium Risk</v>
      </c>
      <c r="P60" s="3" t="str">
        <f t="shared" si="1"/>
        <v>18-20</v>
      </c>
    </row>
    <row r="61" spans="1:16">
      <c r="A61" t="s">
        <v>95</v>
      </c>
      <c r="B61">
        <v>22</v>
      </c>
      <c r="C61" t="s">
        <v>4</v>
      </c>
      <c r="D61">
        <v>95</v>
      </c>
      <c r="E61">
        <v>8</v>
      </c>
      <c r="F61">
        <v>7.76</v>
      </c>
      <c r="G61">
        <v>0.02</v>
      </c>
      <c r="H61">
        <v>6.22</v>
      </c>
      <c r="I61">
        <v>12</v>
      </c>
      <c r="J61">
        <v>0</v>
      </c>
      <c r="K61">
        <f>(StudentData[[#This Row],[Midterm_Grade]]*40%)+(StudentData[[#This Row],[Final_Grade]]*60%)</f>
        <v>3.7399999999999998</v>
      </c>
      <c r="L61">
        <f>StudentData[[#This Row],[Attendance_Percentage]]*40%+StudentData[[#This Row],[Assignments_Completed]]*2+StudentData[[#This Row],[Class_Participation]]*2+StudentData[[#This Row],[Projects_Submitted]]*4</f>
        <v>69.52</v>
      </c>
      <c r="M61">
        <f>StudentData[[#This Row],[Academic_Score]]*60%+StudentData[[#This Row],[Engagement_Score]]*30%+MIN(StudentData[[#This Row],[Study_Hours_per_Week]],20)/20*100*10%</f>
        <v>29.099999999999998</v>
      </c>
      <c r="N61" s="3" t="str" cm="1">
        <f t="array" ref="N6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1" s="3" t="str">
        <f t="shared" si="0"/>
        <v>Medium Risk</v>
      </c>
      <c r="P61" s="3" t="str">
        <f t="shared" si="1"/>
        <v>21-23</v>
      </c>
    </row>
    <row r="62" spans="1:16">
      <c r="A62" t="s">
        <v>96</v>
      </c>
      <c r="B62">
        <v>20</v>
      </c>
      <c r="C62" t="s">
        <v>4</v>
      </c>
      <c r="D62">
        <v>67.67</v>
      </c>
      <c r="E62">
        <v>1</v>
      </c>
      <c r="F62">
        <v>6.11</v>
      </c>
      <c r="G62">
        <v>61.4</v>
      </c>
      <c r="H62">
        <v>82.27</v>
      </c>
      <c r="I62">
        <v>9</v>
      </c>
      <c r="J62">
        <v>5</v>
      </c>
      <c r="K62">
        <f>(StudentData[[#This Row],[Midterm_Grade]]*40%)+(StudentData[[#This Row],[Final_Grade]]*60%)</f>
        <v>73.921999999999997</v>
      </c>
      <c r="L62">
        <f>StudentData[[#This Row],[Attendance_Percentage]]*40%+StudentData[[#This Row],[Assignments_Completed]]*2+StudentData[[#This Row],[Class_Participation]]*2+StudentData[[#This Row],[Projects_Submitted]]*4</f>
        <v>61.288000000000004</v>
      </c>
      <c r="M62">
        <f>StudentData[[#This Row],[Academic_Score]]*60%+StudentData[[#This Row],[Engagement_Score]]*30%+MIN(StudentData[[#This Row],[Study_Hours_per_Week]],20)/20*100*10%</f>
        <v>67.239599999999996</v>
      </c>
      <c r="N62" s="3" t="str" cm="1">
        <f t="array" ref="N62">_xlfn.IFS(StudentData[[#This Row],[Success_Score]]&gt;=85,"Exceptional",StudentData[[#This Row],[Success_Score]]&gt;=70,"Strong",StudentData[[#This Row],[Success_Score]]&gt;=55,"Developing",TRUE,"Needs Improvement")</f>
        <v>Developing</v>
      </c>
      <c r="O62" s="3" t="str">
        <f t="shared" si="0"/>
        <v>Medium Risk</v>
      </c>
      <c r="P62" s="3" t="str">
        <f t="shared" si="1"/>
        <v>18-20</v>
      </c>
    </row>
    <row r="63" spans="1:16">
      <c r="A63" t="s">
        <v>97</v>
      </c>
      <c r="B63">
        <v>24</v>
      </c>
      <c r="C63" t="s">
        <v>5</v>
      </c>
      <c r="D63">
        <v>61.84</v>
      </c>
      <c r="E63">
        <v>3</v>
      </c>
      <c r="F63">
        <v>8.57</v>
      </c>
      <c r="G63">
        <v>61.64</v>
      </c>
      <c r="H63">
        <v>31.14</v>
      </c>
      <c r="I63">
        <v>19</v>
      </c>
      <c r="J63">
        <v>3</v>
      </c>
      <c r="K63">
        <f>(StudentData[[#This Row],[Midterm_Grade]]*40%)+(StudentData[[#This Row],[Final_Grade]]*60%)</f>
        <v>43.34</v>
      </c>
      <c r="L63">
        <f>StudentData[[#This Row],[Attendance_Percentage]]*40%+StudentData[[#This Row],[Assignments_Completed]]*2+StudentData[[#This Row],[Class_Participation]]*2+StudentData[[#This Row],[Projects_Submitted]]*4</f>
        <v>59.876000000000005</v>
      </c>
      <c r="M63">
        <f>StudentData[[#This Row],[Academic_Score]]*60%+StudentData[[#This Row],[Engagement_Score]]*30%+MIN(StudentData[[#This Row],[Study_Hours_per_Week]],20)/20*100*10%</f>
        <v>53.466800000000006</v>
      </c>
      <c r="N63" s="3" t="str" cm="1">
        <f t="array" ref="N6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3" s="3" t="str">
        <f t="shared" si="0"/>
        <v>Medium Risk</v>
      </c>
      <c r="P63" s="3" t="str">
        <f t="shared" si="1"/>
        <v>24-25</v>
      </c>
    </row>
    <row r="64" spans="1:16">
      <c r="A64" t="s">
        <v>98</v>
      </c>
      <c r="B64">
        <v>22</v>
      </c>
      <c r="C64" t="s">
        <v>5</v>
      </c>
      <c r="D64">
        <v>89.03</v>
      </c>
      <c r="E64">
        <v>5</v>
      </c>
      <c r="F64">
        <v>6.73</v>
      </c>
      <c r="G64">
        <v>45.74</v>
      </c>
      <c r="H64">
        <v>40.17</v>
      </c>
      <c r="I64">
        <v>13</v>
      </c>
      <c r="J64">
        <v>0</v>
      </c>
      <c r="K64">
        <f>(StudentData[[#This Row],[Midterm_Grade]]*40%)+(StudentData[[#This Row],[Final_Grade]]*60%)</f>
        <v>42.398000000000003</v>
      </c>
      <c r="L64">
        <f>StudentData[[#This Row],[Attendance_Percentage]]*40%+StudentData[[#This Row],[Assignments_Completed]]*2+StudentData[[#This Row],[Class_Participation]]*2+StudentData[[#This Row],[Projects_Submitted]]*4</f>
        <v>59.072000000000003</v>
      </c>
      <c r="M64">
        <f>StudentData[[#This Row],[Academic_Score]]*60%+StudentData[[#This Row],[Engagement_Score]]*30%+MIN(StudentData[[#This Row],[Study_Hours_per_Week]],20)/20*100*10%</f>
        <v>49.660399999999996</v>
      </c>
      <c r="N64" s="3" t="str" cm="1">
        <f t="array" ref="N6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4" s="3" t="str">
        <f t="shared" si="0"/>
        <v>Medium Risk</v>
      </c>
      <c r="P64" s="3" t="str">
        <f t="shared" si="1"/>
        <v>21-23</v>
      </c>
    </row>
    <row r="65" spans="1:16">
      <c r="A65" t="s">
        <v>99</v>
      </c>
      <c r="B65">
        <v>18</v>
      </c>
      <c r="C65" t="s">
        <v>5</v>
      </c>
      <c r="D65">
        <v>63.74</v>
      </c>
      <c r="E65">
        <v>10</v>
      </c>
      <c r="F65">
        <v>4.08</v>
      </c>
      <c r="G65">
        <v>39.69</v>
      </c>
      <c r="H65">
        <v>50.28</v>
      </c>
      <c r="I65">
        <v>11</v>
      </c>
      <c r="J65">
        <v>1</v>
      </c>
      <c r="K65">
        <f>(StudentData[[#This Row],[Midterm_Grade]]*40%)+(StudentData[[#This Row],[Final_Grade]]*60%)</f>
        <v>46.043999999999997</v>
      </c>
      <c r="L65">
        <f>StudentData[[#This Row],[Attendance_Percentage]]*40%+StudentData[[#This Row],[Assignments_Completed]]*2+StudentData[[#This Row],[Class_Participation]]*2+StudentData[[#This Row],[Projects_Submitted]]*4</f>
        <v>57.656000000000006</v>
      </c>
      <c r="M65">
        <f>StudentData[[#This Row],[Academic_Score]]*60%+StudentData[[#This Row],[Engagement_Score]]*30%+MIN(StudentData[[#This Row],[Study_Hours_per_Week]],20)/20*100*10%</f>
        <v>50.423199999999994</v>
      </c>
      <c r="N65" s="3" t="str" cm="1">
        <f t="array" ref="N6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5" s="3" t="str">
        <f t="shared" si="0"/>
        <v>Medium Risk</v>
      </c>
      <c r="P65" s="3" t="str">
        <f t="shared" si="1"/>
        <v>18-20</v>
      </c>
    </row>
    <row r="66" spans="1:16">
      <c r="A66" t="s">
        <v>100</v>
      </c>
      <c r="B66">
        <v>24</v>
      </c>
      <c r="C66" t="s">
        <v>5</v>
      </c>
      <c r="D66">
        <v>91.13</v>
      </c>
      <c r="E66">
        <v>2</v>
      </c>
      <c r="F66">
        <v>8.86</v>
      </c>
      <c r="G66">
        <v>45.54</v>
      </c>
      <c r="H66">
        <v>83.95</v>
      </c>
      <c r="I66">
        <v>18</v>
      </c>
      <c r="J66">
        <v>2</v>
      </c>
      <c r="K66">
        <f>(StudentData[[#This Row],[Midterm_Grade]]*40%)+(StudentData[[#This Row],[Final_Grade]]*60%)</f>
        <v>68.585999999999999</v>
      </c>
      <c r="L66">
        <f>StudentData[[#This Row],[Attendance_Percentage]]*40%+StudentData[[#This Row],[Assignments_Completed]]*2+StudentData[[#This Row],[Class_Participation]]*2+StudentData[[#This Row],[Projects_Submitted]]*4</f>
        <v>66.171999999999997</v>
      </c>
      <c r="M66">
        <f>StudentData[[#This Row],[Academic_Score]]*60%+StudentData[[#This Row],[Engagement_Score]]*30%+MIN(StudentData[[#This Row],[Study_Hours_per_Week]],20)/20*100*10%</f>
        <v>70.003199999999993</v>
      </c>
      <c r="N66" s="3" t="str" cm="1">
        <f t="array" ref="N66">_xlfn.IFS(StudentData[[#This Row],[Success_Score]]&gt;=85,"Exceptional",StudentData[[#This Row],[Success_Score]]&gt;=70,"Strong",StudentData[[#This Row],[Success_Score]]&gt;=55,"Developing",TRUE,"Needs Improvement")</f>
        <v>Strong</v>
      </c>
      <c r="O66" s="3" t="str">
        <f t="shared" ref="O66:O129" si="2">IF(AND(D66&lt;60,K66&lt;50),"High Risk",IF(OR(D66&lt;70,K66&lt;60),"Medium Risk","Low Risk"))</f>
        <v>Low Risk</v>
      </c>
      <c r="P66" s="3" t="str">
        <f t="shared" ref="P66:P129" si="3">IF(B66&lt;=20,"18-20",IF(B66&lt;=23,"21-23","24-25"))</f>
        <v>24-25</v>
      </c>
    </row>
    <row r="67" spans="1:16">
      <c r="A67" t="s">
        <v>101</v>
      </c>
      <c r="B67">
        <v>19</v>
      </c>
      <c r="C67" t="s">
        <v>4</v>
      </c>
      <c r="D67">
        <v>71.19</v>
      </c>
      <c r="E67">
        <v>7</v>
      </c>
      <c r="F67">
        <v>2.2200000000000002</v>
      </c>
      <c r="G67">
        <v>41.5</v>
      </c>
      <c r="H67">
        <v>65.08</v>
      </c>
      <c r="I67">
        <v>6</v>
      </c>
      <c r="J67">
        <v>0</v>
      </c>
      <c r="K67">
        <f>(StudentData[[#This Row],[Midterm_Grade]]*40%)+(StudentData[[#This Row],[Final_Grade]]*60%)</f>
        <v>55.647999999999996</v>
      </c>
      <c r="L67">
        <f>StudentData[[#This Row],[Attendance_Percentage]]*40%+StudentData[[#This Row],[Assignments_Completed]]*2+StudentData[[#This Row],[Class_Participation]]*2+StudentData[[#This Row],[Projects_Submitted]]*4</f>
        <v>46.915999999999997</v>
      </c>
      <c r="M67">
        <f>StudentData[[#This Row],[Academic_Score]]*60%+StudentData[[#This Row],[Engagement_Score]]*30%+MIN(StudentData[[#This Row],[Study_Hours_per_Week]],20)/20*100*10%</f>
        <v>50.463599999999992</v>
      </c>
      <c r="N67" s="3" t="str" cm="1">
        <f t="array" ref="N6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7" s="3" t="str">
        <f t="shared" si="2"/>
        <v>Medium Risk</v>
      </c>
      <c r="P67" s="3" t="str">
        <f t="shared" si="3"/>
        <v>18-20</v>
      </c>
    </row>
    <row r="68" spans="1:16">
      <c r="A68" t="s">
        <v>102</v>
      </c>
      <c r="B68">
        <v>21</v>
      </c>
      <c r="C68" t="s">
        <v>5</v>
      </c>
      <c r="D68">
        <v>83.38</v>
      </c>
      <c r="E68">
        <v>2</v>
      </c>
      <c r="F68">
        <v>7.15</v>
      </c>
      <c r="G68">
        <v>73.05</v>
      </c>
      <c r="H68">
        <v>61.51</v>
      </c>
      <c r="I68">
        <v>14</v>
      </c>
      <c r="J68">
        <v>4</v>
      </c>
      <c r="K68">
        <f>(StudentData[[#This Row],[Midterm_Grade]]*40%)+(StudentData[[#This Row],[Final_Grade]]*60%)</f>
        <v>66.126000000000005</v>
      </c>
      <c r="L68">
        <f>StudentData[[#This Row],[Attendance_Percentage]]*40%+StudentData[[#This Row],[Assignments_Completed]]*2+StudentData[[#This Row],[Class_Participation]]*2+StudentData[[#This Row],[Projects_Submitted]]*4</f>
        <v>67.652000000000001</v>
      </c>
      <c r="M68">
        <f>StudentData[[#This Row],[Academic_Score]]*60%+StudentData[[#This Row],[Engagement_Score]]*30%+MIN(StudentData[[#This Row],[Study_Hours_per_Week]],20)/20*100*10%</f>
        <v>66.97120000000001</v>
      </c>
      <c r="N68" s="3" t="str" cm="1">
        <f t="array" ref="N68">_xlfn.IFS(StudentData[[#This Row],[Success_Score]]&gt;=85,"Exceptional",StudentData[[#This Row],[Success_Score]]&gt;=70,"Strong",StudentData[[#This Row],[Success_Score]]&gt;=55,"Developing",TRUE,"Needs Improvement")</f>
        <v>Developing</v>
      </c>
      <c r="O68" s="3" t="str">
        <f t="shared" si="2"/>
        <v>Low Risk</v>
      </c>
      <c r="P68" s="3" t="str">
        <f t="shared" si="3"/>
        <v>21-23</v>
      </c>
    </row>
    <row r="69" spans="1:16">
      <c r="A69" t="s">
        <v>103</v>
      </c>
      <c r="B69">
        <v>18</v>
      </c>
      <c r="C69" t="s">
        <v>5</v>
      </c>
      <c r="D69">
        <v>54.78</v>
      </c>
      <c r="E69">
        <v>1</v>
      </c>
      <c r="F69">
        <v>8.82</v>
      </c>
      <c r="G69">
        <v>13.54</v>
      </c>
      <c r="H69">
        <v>17.57</v>
      </c>
      <c r="I69">
        <v>15</v>
      </c>
      <c r="J69">
        <v>4</v>
      </c>
      <c r="K69">
        <f>(StudentData[[#This Row],[Midterm_Grade]]*40%)+(StudentData[[#This Row],[Final_Grade]]*60%)</f>
        <v>15.958</v>
      </c>
      <c r="L69">
        <f>StudentData[[#This Row],[Attendance_Percentage]]*40%+StudentData[[#This Row],[Assignments_Completed]]*2+StudentData[[#This Row],[Class_Participation]]*2+StudentData[[#This Row],[Projects_Submitted]]*4</f>
        <v>57.552000000000007</v>
      </c>
      <c r="M69">
        <f>StudentData[[#This Row],[Academic_Score]]*60%+StudentData[[#This Row],[Engagement_Score]]*30%+MIN(StudentData[[#This Row],[Study_Hours_per_Week]],20)/20*100*10%</f>
        <v>34.340400000000002</v>
      </c>
      <c r="N69" s="3" t="str" cm="1">
        <f t="array" ref="N6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9" s="3" t="str">
        <f t="shared" si="2"/>
        <v>High Risk</v>
      </c>
      <c r="P69" s="3" t="str">
        <f t="shared" si="3"/>
        <v>18-20</v>
      </c>
    </row>
    <row r="70" spans="1:16">
      <c r="A70" t="s">
        <v>104</v>
      </c>
      <c r="B70">
        <v>21</v>
      </c>
      <c r="C70" t="s">
        <v>6</v>
      </c>
      <c r="D70">
        <v>81.19</v>
      </c>
      <c r="E70">
        <v>2</v>
      </c>
      <c r="F70">
        <v>7.31</v>
      </c>
      <c r="G70">
        <v>19.760000000000002</v>
      </c>
      <c r="H70">
        <v>51.32</v>
      </c>
      <c r="I70">
        <v>7</v>
      </c>
      <c r="J70">
        <v>2</v>
      </c>
      <c r="K70">
        <f>(StudentData[[#This Row],[Midterm_Grade]]*40%)+(StudentData[[#This Row],[Final_Grade]]*60%)</f>
        <v>38.695999999999998</v>
      </c>
      <c r="L70">
        <f>StudentData[[#This Row],[Attendance_Percentage]]*40%+StudentData[[#This Row],[Assignments_Completed]]*2+StudentData[[#This Row],[Class_Participation]]*2+StudentData[[#This Row],[Projects_Submitted]]*4</f>
        <v>59.095999999999997</v>
      </c>
      <c r="M70">
        <f>StudentData[[#This Row],[Academic_Score]]*60%+StudentData[[#This Row],[Engagement_Score]]*30%+MIN(StudentData[[#This Row],[Study_Hours_per_Week]],20)/20*100*10%</f>
        <v>44.446399999999997</v>
      </c>
      <c r="N70" s="3" t="str" cm="1">
        <f t="array" ref="N7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0" s="3" t="str">
        <f t="shared" si="2"/>
        <v>Medium Risk</v>
      </c>
      <c r="P70" s="3" t="str">
        <f t="shared" si="3"/>
        <v>21-23</v>
      </c>
    </row>
    <row r="71" spans="1:16">
      <c r="A71" t="s">
        <v>105</v>
      </c>
      <c r="B71">
        <v>23</v>
      </c>
      <c r="C71" t="s">
        <v>5</v>
      </c>
      <c r="D71">
        <v>72.59</v>
      </c>
      <c r="E71">
        <v>10</v>
      </c>
      <c r="F71">
        <v>6.97</v>
      </c>
      <c r="G71">
        <v>18.05</v>
      </c>
      <c r="H71">
        <v>71.540000000000006</v>
      </c>
      <c r="I71">
        <v>9</v>
      </c>
      <c r="J71">
        <v>3</v>
      </c>
      <c r="K71">
        <f>(StudentData[[#This Row],[Midterm_Grade]]*40%)+(StudentData[[#This Row],[Final_Grade]]*60%)</f>
        <v>50.143999999999998</v>
      </c>
      <c r="L71">
        <f>StudentData[[#This Row],[Attendance_Percentage]]*40%+StudentData[[#This Row],[Assignments_Completed]]*2+StudentData[[#This Row],[Class_Participation]]*2+StudentData[[#This Row],[Projects_Submitted]]*4</f>
        <v>74.975999999999999</v>
      </c>
      <c r="M71">
        <f>StudentData[[#This Row],[Academic_Score]]*60%+StudentData[[#This Row],[Engagement_Score]]*30%+MIN(StudentData[[#This Row],[Study_Hours_per_Week]],20)/20*100*10%</f>
        <v>57.0792</v>
      </c>
      <c r="N71" s="3" t="str" cm="1">
        <f t="array" ref="N71">_xlfn.IFS(StudentData[[#This Row],[Success_Score]]&gt;=85,"Exceptional",StudentData[[#This Row],[Success_Score]]&gt;=70,"Strong",StudentData[[#This Row],[Success_Score]]&gt;=55,"Developing",TRUE,"Needs Improvement")</f>
        <v>Developing</v>
      </c>
      <c r="O71" s="3" t="str">
        <f t="shared" si="2"/>
        <v>Medium Risk</v>
      </c>
      <c r="P71" s="3" t="str">
        <f t="shared" si="3"/>
        <v>21-23</v>
      </c>
    </row>
    <row r="72" spans="1:16">
      <c r="A72" t="s">
        <v>106</v>
      </c>
      <c r="B72">
        <v>19</v>
      </c>
      <c r="C72" t="s">
        <v>4</v>
      </c>
      <c r="D72">
        <v>79.33</v>
      </c>
      <c r="E72">
        <v>5</v>
      </c>
      <c r="F72">
        <v>7.53</v>
      </c>
      <c r="G72">
        <v>26.25</v>
      </c>
      <c r="H72">
        <v>97.33</v>
      </c>
      <c r="I72">
        <v>3</v>
      </c>
      <c r="J72">
        <v>5</v>
      </c>
      <c r="K72">
        <f>(StudentData[[#This Row],[Midterm_Grade]]*40%)+(StudentData[[#This Row],[Final_Grade]]*60%)</f>
        <v>68.897999999999996</v>
      </c>
      <c r="L72">
        <f>StudentData[[#This Row],[Attendance_Percentage]]*40%+StudentData[[#This Row],[Assignments_Completed]]*2+StudentData[[#This Row],[Class_Participation]]*2+StudentData[[#This Row],[Projects_Submitted]]*4</f>
        <v>76.792000000000002</v>
      </c>
      <c r="M72">
        <f>StudentData[[#This Row],[Academic_Score]]*60%+StudentData[[#This Row],[Engagement_Score]]*30%+MIN(StudentData[[#This Row],[Study_Hours_per_Week]],20)/20*100*10%</f>
        <v>65.876400000000004</v>
      </c>
      <c r="N72" s="3" t="str" cm="1">
        <f t="array" ref="N72">_xlfn.IFS(StudentData[[#This Row],[Success_Score]]&gt;=85,"Exceptional",StudentData[[#This Row],[Success_Score]]&gt;=70,"Strong",StudentData[[#This Row],[Success_Score]]&gt;=55,"Developing",TRUE,"Needs Improvement")</f>
        <v>Developing</v>
      </c>
      <c r="O72" s="3" t="str">
        <f t="shared" si="2"/>
        <v>Low Risk</v>
      </c>
      <c r="P72" s="3" t="str">
        <f t="shared" si="3"/>
        <v>18-20</v>
      </c>
    </row>
    <row r="73" spans="1:16">
      <c r="A73" t="s">
        <v>107</v>
      </c>
      <c r="B73">
        <v>19</v>
      </c>
      <c r="C73" t="s">
        <v>4</v>
      </c>
      <c r="D73">
        <v>58.4</v>
      </c>
      <c r="E73">
        <v>1</v>
      </c>
      <c r="F73">
        <v>4.6500000000000004</v>
      </c>
      <c r="G73">
        <v>52.53</v>
      </c>
      <c r="H73">
        <v>20.14</v>
      </c>
      <c r="I73">
        <v>18</v>
      </c>
      <c r="J73">
        <v>3</v>
      </c>
      <c r="K73">
        <f>(StudentData[[#This Row],[Midterm_Grade]]*40%)+(StudentData[[#This Row],[Final_Grade]]*60%)</f>
        <v>33.096000000000004</v>
      </c>
      <c r="L73">
        <f>StudentData[[#This Row],[Attendance_Percentage]]*40%+StudentData[[#This Row],[Assignments_Completed]]*2+StudentData[[#This Row],[Class_Participation]]*2+StudentData[[#This Row],[Projects_Submitted]]*4</f>
        <v>46.66</v>
      </c>
      <c r="M73">
        <f>StudentData[[#This Row],[Academic_Score]]*60%+StudentData[[#This Row],[Engagement_Score]]*30%+MIN(StudentData[[#This Row],[Study_Hours_per_Week]],20)/20*100*10%</f>
        <v>42.855600000000003</v>
      </c>
      <c r="N73" s="3" t="str" cm="1">
        <f t="array" ref="N7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3" s="3" t="str">
        <f t="shared" si="2"/>
        <v>High Risk</v>
      </c>
      <c r="P73" s="3" t="str">
        <f t="shared" si="3"/>
        <v>18-20</v>
      </c>
    </row>
    <row r="74" spans="1:16">
      <c r="A74" t="s">
        <v>108</v>
      </c>
      <c r="B74">
        <v>18</v>
      </c>
      <c r="C74" t="s">
        <v>5</v>
      </c>
      <c r="D74">
        <v>86.84</v>
      </c>
      <c r="E74">
        <v>7</v>
      </c>
      <c r="F74">
        <v>8.74</v>
      </c>
      <c r="G74">
        <v>11.12</v>
      </c>
      <c r="H74">
        <v>0.95</v>
      </c>
      <c r="I74">
        <v>18</v>
      </c>
      <c r="J74">
        <v>0</v>
      </c>
      <c r="K74">
        <f>(StudentData[[#This Row],[Midterm_Grade]]*40%)+(StudentData[[#This Row],[Final_Grade]]*60%)</f>
        <v>5.0179999999999998</v>
      </c>
      <c r="L74">
        <f>StudentData[[#This Row],[Attendance_Percentage]]*40%+StudentData[[#This Row],[Assignments_Completed]]*2+StudentData[[#This Row],[Class_Participation]]*2+StudentData[[#This Row],[Projects_Submitted]]*4</f>
        <v>66.216000000000008</v>
      </c>
      <c r="M74">
        <f>StudentData[[#This Row],[Academic_Score]]*60%+StudentData[[#This Row],[Engagement_Score]]*30%+MIN(StudentData[[#This Row],[Study_Hours_per_Week]],20)/20*100*10%</f>
        <v>31.875600000000002</v>
      </c>
      <c r="N74" s="3" t="str" cm="1">
        <f t="array" ref="N7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4" s="3" t="str">
        <f t="shared" si="2"/>
        <v>Medium Risk</v>
      </c>
      <c r="P74" s="3" t="str">
        <f t="shared" si="3"/>
        <v>18-20</v>
      </c>
    </row>
    <row r="75" spans="1:16">
      <c r="A75" t="s">
        <v>109</v>
      </c>
      <c r="B75">
        <v>19</v>
      </c>
      <c r="C75" t="s">
        <v>4</v>
      </c>
      <c r="D75">
        <v>93.14</v>
      </c>
      <c r="E75">
        <v>0</v>
      </c>
      <c r="F75">
        <v>2.0299999999999998</v>
      </c>
      <c r="G75">
        <v>86.82</v>
      </c>
      <c r="H75">
        <v>7.53</v>
      </c>
      <c r="I75">
        <v>14</v>
      </c>
      <c r="J75">
        <v>3</v>
      </c>
      <c r="K75">
        <f>(StudentData[[#This Row],[Midterm_Grade]]*40%)+(StudentData[[#This Row],[Final_Grade]]*60%)</f>
        <v>39.246000000000002</v>
      </c>
      <c r="L75">
        <f>StudentData[[#This Row],[Attendance_Percentage]]*40%+StudentData[[#This Row],[Assignments_Completed]]*2+StudentData[[#This Row],[Class_Participation]]*2+StudentData[[#This Row],[Projects_Submitted]]*4</f>
        <v>53.316000000000003</v>
      </c>
      <c r="M75">
        <f>StudentData[[#This Row],[Academic_Score]]*60%+StudentData[[#This Row],[Engagement_Score]]*30%+MIN(StudentData[[#This Row],[Study_Hours_per_Week]],20)/20*100*10%</f>
        <v>46.542400000000001</v>
      </c>
      <c r="N75" s="3" t="str" cm="1">
        <f t="array" ref="N7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5" s="3" t="str">
        <f t="shared" si="2"/>
        <v>Medium Risk</v>
      </c>
      <c r="P75" s="3" t="str">
        <f t="shared" si="3"/>
        <v>18-20</v>
      </c>
    </row>
    <row r="76" spans="1:16">
      <c r="A76" t="s">
        <v>110</v>
      </c>
      <c r="B76">
        <v>22</v>
      </c>
      <c r="C76" t="s">
        <v>4</v>
      </c>
      <c r="D76">
        <v>60.84</v>
      </c>
      <c r="E76">
        <v>6</v>
      </c>
      <c r="F76">
        <v>1.27</v>
      </c>
      <c r="G76">
        <v>29.74</v>
      </c>
      <c r="H76">
        <v>37.590000000000003</v>
      </c>
      <c r="I76">
        <v>13</v>
      </c>
      <c r="J76">
        <v>2</v>
      </c>
      <c r="K76">
        <f>(StudentData[[#This Row],[Midterm_Grade]]*40%)+(StudentData[[#This Row],[Final_Grade]]*60%)</f>
        <v>34.450000000000003</v>
      </c>
      <c r="L76">
        <f>StudentData[[#This Row],[Attendance_Percentage]]*40%+StudentData[[#This Row],[Assignments_Completed]]*2+StudentData[[#This Row],[Class_Participation]]*2+StudentData[[#This Row],[Projects_Submitted]]*4</f>
        <v>46.875999999999998</v>
      </c>
      <c r="M76">
        <f>StudentData[[#This Row],[Academic_Score]]*60%+StudentData[[#This Row],[Engagement_Score]]*30%+MIN(StudentData[[#This Row],[Study_Hours_per_Week]],20)/20*100*10%</f>
        <v>41.232799999999997</v>
      </c>
      <c r="N76" s="3" t="str" cm="1">
        <f t="array" ref="N7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6" s="3" t="str">
        <f t="shared" si="2"/>
        <v>Medium Risk</v>
      </c>
      <c r="P76" s="3" t="str">
        <f t="shared" si="3"/>
        <v>21-23</v>
      </c>
    </row>
    <row r="77" spans="1:16">
      <c r="A77" t="s">
        <v>111</v>
      </c>
      <c r="B77">
        <v>19</v>
      </c>
      <c r="C77" t="s">
        <v>6</v>
      </c>
      <c r="D77">
        <v>54.79</v>
      </c>
      <c r="E77">
        <v>1</v>
      </c>
      <c r="F77">
        <v>2.86</v>
      </c>
      <c r="G77">
        <v>16.25</v>
      </c>
      <c r="H77">
        <v>82.05</v>
      </c>
      <c r="I77">
        <v>0</v>
      </c>
      <c r="J77">
        <v>0</v>
      </c>
      <c r="K77">
        <f>(StudentData[[#This Row],[Midterm_Grade]]*40%)+(StudentData[[#This Row],[Final_Grade]]*60%)</f>
        <v>55.73</v>
      </c>
      <c r="L77">
        <f>StudentData[[#This Row],[Attendance_Percentage]]*40%+StudentData[[#This Row],[Assignments_Completed]]*2+StudentData[[#This Row],[Class_Participation]]*2+StudentData[[#This Row],[Projects_Submitted]]*4</f>
        <v>29.635999999999999</v>
      </c>
      <c r="M77">
        <f>StudentData[[#This Row],[Academic_Score]]*60%+StudentData[[#This Row],[Engagement_Score]]*30%+MIN(StudentData[[#This Row],[Study_Hours_per_Week]],20)/20*100*10%</f>
        <v>42.328799999999994</v>
      </c>
      <c r="N77" s="3" t="str" cm="1">
        <f t="array" ref="N7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7" s="3" t="str">
        <f t="shared" si="2"/>
        <v>Medium Risk</v>
      </c>
      <c r="P77" s="3" t="str">
        <f t="shared" si="3"/>
        <v>18-20</v>
      </c>
    </row>
    <row r="78" spans="1:16">
      <c r="A78" t="s">
        <v>112</v>
      </c>
      <c r="B78">
        <v>21</v>
      </c>
      <c r="C78" t="s">
        <v>5</v>
      </c>
      <c r="D78">
        <v>51.18</v>
      </c>
      <c r="E78">
        <v>9</v>
      </c>
      <c r="F78">
        <v>5.32</v>
      </c>
      <c r="G78">
        <v>67.56</v>
      </c>
      <c r="H78">
        <v>0.71</v>
      </c>
      <c r="I78">
        <v>15</v>
      </c>
      <c r="J78">
        <v>1</v>
      </c>
      <c r="K78">
        <f>(StudentData[[#This Row],[Midterm_Grade]]*40%)+(StudentData[[#This Row],[Final_Grade]]*60%)</f>
        <v>27.45</v>
      </c>
      <c r="L78">
        <f>StudentData[[#This Row],[Attendance_Percentage]]*40%+StudentData[[#This Row],[Assignments_Completed]]*2+StudentData[[#This Row],[Class_Participation]]*2+StudentData[[#This Row],[Projects_Submitted]]*4</f>
        <v>53.112000000000002</v>
      </c>
      <c r="M78">
        <f>StudentData[[#This Row],[Academic_Score]]*60%+StudentData[[#This Row],[Engagement_Score]]*30%+MIN(StudentData[[#This Row],[Study_Hours_per_Week]],20)/20*100*10%</f>
        <v>39.903599999999997</v>
      </c>
      <c r="N78" s="3" t="str" cm="1">
        <f t="array" ref="N7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8" s="3" t="str">
        <f t="shared" si="2"/>
        <v>High Risk</v>
      </c>
      <c r="P78" s="3" t="str">
        <f t="shared" si="3"/>
        <v>21-23</v>
      </c>
    </row>
    <row r="79" spans="1:16">
      <c r="A79" t="s">
        <v>113</v>
      </c>
      <c r="B79">
        <v>21</v>
      </c>
      <c r="C79" t="s">
        <v>6</v>
      </c>
      <c r="D79">
        <v>82.1</v>
      </c>
      <c r="E79">
        <v>5</v>
      </c>
      <c r="F79">
        <v>5.1100000000000003</v>
      </c>
      <c r="G79">
        <v>3.81</v>
      </c>
      <c r="H79">
        <v>45.67</v>
      </c>
      <c r="I79">
        <v>9</v>
      </c>
      <c r="J79">
        <v>3</v>
      </c>
      <c r="K79">
        <f>(StudentData[[#This Row],[Midterm_Grade]]*40%)+(StudentData[[#This Row],[Final_Grade]]*60%)</f>
        <v>28.926000000000002</v>
      </c>
      <c r="L79">
        <f>StudentData[[#This Row],[Attendance_Percentage]]*40%+StudentData[[#This Row],[Assignments_Completed]]*2+StudentData[[#This Row],[Class_Participation]]*2+StudentData[[#This Row],[Projects_Submitted]]*4</f>
        <v>65.06</v>
      </c>
      <c r="M79">
        <f>StudentData[[#This Row],[Academic_Score]]*60%+StudentData[[#This Row],[Engagement_Score]]*30%+MIN(StudentData[[#This Row],[Study_Hours_per_Week]],20)/20*100*10%</f>
        <v>41.373599999999996</v>
      </c>
      <c r="N79" s="3" t="str" cm="1">
        <f t="array" ref="N7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9" s="3" t="str">
        <f t="shared" si="2"/>
        <v>Medium Risk</v>
      </c>
      <c r="P79" s="3" t="str">
        <f t="shared" si="3"/>
        <v>21-23</v>
      </c>
    </row>
    <row r="80" spans="1:16">
      <c r="A80" t="s">
        <v>114</v>
      </c>
      <c r="B80">
        <v>24</v>
      </c>
      <c r="C80" t="s">
        <v>4</v>
      </c>
      <c r="D80">
        <v>80.349999999999994</v>
      </c>
      <c r="E80">
        <v>1</v>
      </c>
      <c r="F80">
        <v>8.2100000000000009</v>
      </c>
      <c r="G80">
        <v>62</v>
      </c>
      <c r="H80">
        <v>32.92</v>
      </c>
      <c r="I80">
        <v>18</v>
      </c>
      <c r="J80">
        <v>3</v>
      </c>
      <c r="K80">
        <f>(StudentData[[#This Row],[Midterm_Grade]]*40%)+(StudentData[[#This Row],[Final_Grade]]*60%)</f>
        <v>44.552</v>
      </c>
      <c r="L80">
        <f>StudentData[[#This Row],[Attendance_Percentage]]*40%+StudentData[[#This Row],[Assignments_Completed]]*2+StudentData[[#This Row],[Class_Participation]]*2+StudentData[[#This Row],[Projects_Submitted]]*4</f>
        <v>62.56</v>
      </c>
      <c r="M80">
        <f>StudentData[[#This Row],[Academic_Score]]*60%+StudentData[[#This Row],[Engagement_Score]]*30%+MIN(StudentData[[#This Row],[Study_Hours_per_Week]],20)/20*100*10%</f>
        <v>54.499200000000002</v>
      </c>
      <c r="N80" s="3" t="str" cm="1">
        <f t="array" ref="N8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0" s="3" t="str">
        <f t="shared" si="2"/>
        <v>Medium Risk</v>
      </c>
      <c r="P80" s="3" t="str">
        <f t="shared" si="3"/>
        <v>24-25</v>
      </c>
    </row>
    <row r="81" spans="1:16">
      <c r="A81" t="s">
        <v>115</v>
      </c>
      <c r="B81">
        <v>21</v>
      </c>
      <c r="C81" t="s">
        <v>5</v>
      </c>
      <c r="D81">
        <v>77.33</v>
      </c>
      <c r="E81">
        <v>1</v>
      </c>
      <c r="F81">
        <v>4.05</v>
      </c>
      <c r="G81">
        <v>69.819999999999993</v>
      </c>
      <c r="H81">
        <v>5.25</v>
      </c>
      <c r="I81">
        <v>2</v>
      </c>
      <c r="J81">
        <v>5</v>
      </c>
      <c r="K81">
        <f>(StudentData[[#This Row],[Midterm_Grade]]*40%)+(StudentData[[#This Row],[Final_Grade]]*60%)</f>
        <v>31.077999999999996</v>
      </c>
      <c r="L81">
        <f>StudentData[[#This Row],[Attendance_Percentage]]*40%+StudentData[[#This Row],[Assignments_Completed]]*2+StudentData[[#This Row],[Class_Participation]]*2+StudentData[[#This Row],[Projects_Submitted]]*4</f>
        <v>61.032000000000004</v>
      </c>
      <c r="M81">
        <f>StudentData[[#This Row],[Academic_Score]]*60%+StudentData[[#This Row],[Engagement_Score]]*30%+MIN(StudentData[[#This Row],[Study_Hours_per_Week]],20)/20*100*10%</f>
        <v>37.956399999999995</v>
      </c>
      <c r="N81" s="3" t="str" cm="1">
        <f t="array" ref="N8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1" s="3" t="str">
        <f t="shared" si="2"/>
        <v>Medium Risk</v>
      </c>
      <c r="P81" s="3" t="str">
        <f t="shared" si="3"/>
        <v>21-23</v>
      </c>
    </row>
    <row r="82" spans="1:16">
      <c r="A82" t="s">
        <v>116</v>
      </c>
      <c r="B82">
        <v>24</v>
      </c>
      <c r="C82" t="s">
        <v>4</v>
      </c>
      <c r="D82">
        <v>61.6</v>
      </c>
      <c r="E82">
        <v>9</v>
      </c>
      <c r="F82">
        <v>4.84</v>
      </c>
      <c r="G82">
        <v>21.49</v>
      </c>
      <c r="H82">
        <v>45.02</v>
      </c>
      <c r="I82">
        <v>4</v>
      </c>
      <c r="J82">
        <v>0</v>
      </c>
      <c r="K82">
        <f>(StudentData[[#This Row],[Midterm_Grade]]*40%)+(StudentData[[#This Row],[Final_Grade]]*60%)</f>
        <v>35.608000000000004</v>
      </c>
      <c r="L82">
        <f>StudentData[[#This Row],[Attendance_Percentage]]*40%+StudentData[[#This Row],[Assignments_Completed]]*2+StudentData[[#This Row],[Class_Participation]]*2+StudentData[[#This Row],[Projects_Submitted]]*4</f>
        <v>52.32</v>
      </c>
      <c r="M82">
        <f>StudentData[[#This Row],[Academic_Score]]*60%+StudentData[[#This Row],[Engagement_Score]]*30%+MIN(StudentData[[#This Row],[Study_Hours_per_Week]],20)/20*100*10%</f>
        <v>39.0608</v>
      </c>
      <c r="N82" s="3" t="str" cm="1">
        <f t="array" ref="N8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2" s="3" t="str">
        <f t="shared" si="2"/>
        <v>Medium Risk</v>
      </c>
      <c r="P82" s="3" t="str">
        <f t="shared" si="3"/>
        <v>24-25</v>
      </c>
    </row>
    <row r="83" spans="1:16">
      <c r="A83" t="s">
        <v>117</v>
      </c>
      <c r="B83">
        <v>21</v>
      </c>
      <c r="C83" t="s">
        <v>6</v>
      </c>
      <c r="D83">
        <v>69.55</v>
      </c>
      <c r="E83">
        <v>7</v>
      </c>
      <c r="F83">
        <v>0.13</v>
      </c>
      <c r="G83">
        <v>4.2</v>
      </c>
      <c r="H83">
        <v>25.47</v>
      </c>
      <c r="I83">
        <v>8</v>
      </c>
      <c r="J83">
        <v>4</v>
      </c>
      <c r="K83">
        <f>(StudentData[[#This Row],[Midterm_Grade]]*40%)+(StudentData[[#This Row],[Final_Grade]]*60%)</f>
        <v>16.962</v>
      </c>
      <c r="L83">
        <f>StudentData[[#This Row],[Attendance_Percentage]]*40%+StudentData[[#This Row],[Assignments_Completed]]*2+StudentData[[#This Row],[Class_Participation]]*2+StudentData[[#This Row],[Projects_Submitted]]*4</f>
        <v>58.08</v>
      </c>
      <c r="M83">
        <f>StudentData[[#This Row],[Academic_Score]]*60%+StudentData[[#This Row],[Engagement_Score]]*30%+MIN(StudentData[[#This Row],[Study_Hours_per_Week]],20)/20*100*10%</f>
        <v>31.601199999999999</v>
      </c>
      <c r="N83" s="3" t="str" cm="1">
        <f t="array" ref="N8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3" s="3" t="str">
        <f t="shared" si="2"/>
        <v>Medium Risk</v>
      </c>
      <c r="P83" s="3" t="str">
        <f t="shared" si="3"/>
        <v>21-23</v>
      </c>
    </row>
    <row r="84" spans="1:16">
      <c r="A84" t="s">
        <v>118</v>
      </c>
      <c r="B84">
        <v>22</v>
      </c>
      <c r="C84" t="s">
        <v>4</v>
      </c>
      <c r="D84">
        <v>79.72</v>
      </c>
      <c r="E84">
        <v>1</v>
      </c>
      <c r="F84">
        <v>4.0999999999999996</v>
      </c>
      <c r="G84">
        <v>36.36</v>
      </c>
      <c r="H84">
        <v>35.19</v>
      </c>
      <c r="I84">
        <v>17</v>
      </c>
      <c r="J84">
        <v>3</v>
      </c>
      <c r="K84">
        <f>(StudentData[[#This Row],[Midterm_Grade]]*40%)+(StudentData[[#This Row],[Final_Grade]]*60%)</f>
        <v>35.658000000000001</v>
      </c>
      <c r="L84">
        <f>StudentData[[#This Row],[Attendance_Percentage]]*40%+StudentData[[#This Row],[Assignments_Completed]]*2+StudentData[[#This Row],[Class_Participation]]*2+StudentData[[#This Row],[Projects_Submitted]]*4</f>
        <v>54.088000000000008</v>
      </c>
      <c r="M84">
        <f>StudentData[[#This Row],[Academic_Score]]*60%+StudentData[[#This Row],[Engagement_Score]]*30%+MIN(StudentData[[#This Row],[Study_Hours_per_Week]],20)/20*100*10%</f>
        <v>46.121200000000002</v>
      </c>
      <c r="N84" s="3" t="str" cm="1">
        <f t="array" ref="N8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4" s="3" t="str">
        <f t="shared" si="2"/>
        <v>Medium Risk</v>
      </c>
      <c r="P84" s="3" t="str">
        <f t="shared" si="3"/>
        <v>21-23</v>
      </c>
    </row>
    <row r="85" spans="1:16">
      <c r="A85" t="s">
        <v>119</v>
      </c>
      <c r="B85">
        <v>25</v>
      </c>
      <c r="C85" t="s">
        <v>5</v>
      </c>
      <c r="D85">
        <v>74.84</v>
      </c>
      <c r="E85">
        <v>6</v>
      </c>
      <c r="F85">
        <v>6.48</v>
      </c>
      <c r="G85">
        <v>9.86</v>
      </c>
      <c r="H85">
        <v>70.56</v>
      </c>
      <c r="I85">
        <v>10</v>
      </c>
      <c r="J85">
        <v>2</v>
      </c>
      <c r="K85">
        <f>(StudentData[[#This Row],[Midterm_Grade]]*40%)+(StudentData[[#This Row],[Final_Grade]]*60%)</f>
        <v>46.28</v>
      </c>
      <c r="L85">
        <f>StudentData[[#This Row],[Attendance_Percentage]]*40%+StudentData[[#This Row],[Assignments_Completed]]*2+StudentData[[#This Row],[Class_Participation]]*2+StudentData[[#This Row],[Projects_Submitted]]*4</f>
        <v>62.896000000000008</v>
      </c>
      <c r="M85">
        <f>StudentData[[#This Row],[Academic_Score]]*60%+StudentData[[#This Row],[Engagement_Score]]*30%+MIN(StudentData[[#This Row],[Study_Hours_per_Week]],20)/20*100*10%</f>
        <v>51.636800000000001</v>
      </c>
      <c r="N85" s="3" t="str" cm="1">
        <f t="array" ref="N8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5" s="3" t="str">
        <f t="shared" si="2"/>
        <v>Medium Risk</v>
      </c>
      <c r="P85" s="3" t="str">
        <f t="shared" si="3"/>
        <v>24-25</v>
      </c>
    </row>
    <row r="86" spans="1:16">
      <c r="A86" t="s">
        <v>120</v>
      </c>
      <c r="B86">
        <v>24</v>
      </c>
      <c r="C86" t="s">
        <v>4</v>
      </c>
      <c r="D86">
        <v>99.39</v>
      </c>
      <c r="E86">
        <v>2</v>
      </c>
      <c r="F86">
        <v>0.16</v>
      </c>
      <c r="G86">
        <v>11.65</v>
      </c>
      <c r="H86">
        <v>52.16</v>
      </c>
      <c r="I86">
        <v>15</v>
      </c>
      <c r="J86">
        <v>3</v>
      </c>
      <c r="K86">
        <f>(StudentData[[#This Row],[Midterm_Grade]]*40%)+(StudentData[[#This Row],[Final_Grade]]*60%)</f>
        <v>35.955999999999996</v>
      </c>
      <c r="L86">
        <f>StudentData[[#This Row],[Attendance_Percentage]]*40%+StudentData[[#This Row],[Assignments_Completed]]*2+StudentData[[#This Row],[Class_Participation]]*2+StudentData[[#This Row],[Projects_Submitted]]*4</f>
        <v>56.076000000000001</v>
      </c>
      <c r="M86">
        <f>StudentData[[#This Row],[Academic_Score]]*60%+StudentData[[#This Row],[Engagement_Score]]*30%+MIN(StudentData[[#This Row],[Study_Hours_per_Week]],20)/20*100*10%</f>
        <v>45.8964</v>
      </c>
      <c r="N86" s="3" t="str" cm="1">
        <f t="array" ref="N8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6" s="3" t="str">
        <f t="shared" si="2"/>
        <v>Medium Risk</v>
      </c>
      <c r="P86" s="3" t="str">
        <f t="shared" si="3"/>
        <v>24-25</v>
      </c>
    </row>
    <row r="87" spans="1:16">
      <c r="A87" t="s">
        <v>121</v>
      </c>
      <c r="B87">
        <v>20</v>
      </c>
      <c r="C87" t="s">
        <v>5</v>
      </c>
      <c r="D87">
        <v>56.82</v>
      </c>
      <c r="E87">
        <v>7</v>
      </c>
      <c r="F87">
        <v>2.81</v>
      </c>
      <c r="G87">
        <v>25.43</v>
      </c>
      <c r="H87">
        <v>12.46</v>
      </c>
      <c r="I87">
        <v>1</v>
      </c>
      <c r="J87">
        <v>5</v>
      </c>
      <c r="K87">
        <f>(StudentData[[#This Row],[Midterm_Grade]]*40%)+(StudentData[[#This Row],[Final_Grade]]*60%)</f>
        <v>17.648</v>
      </c>
      <c r="L87">
        <f>StudentData[[#This Row],[Attendance_Percentage]]*40%+StudentData[[#This Row],[Assignments_Completed]]*2+StudentData[[#This Row],[Class_Participation]]*2+StudentData[[#This Row],[Projects_Submitted]]*4</f>
        <v>62.347999999999999</v>
      </c>
      <c r="M87">
        <f>StudentData[[#This Row],[Academic_Score]]*60%+StudentData[[#This Row],[Engagement_Score]]*30%+MIN(StudentData[[#This Row],[Study_Hours_per_Week]],20)/20*100*10%</f>
        <v>29.793199999999999</v>
      </c>
      <c r="N87" s="3" t="str" cm="1">
        <f t="array" ref="N8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7" s="3" t="str">
        <f t="shared" si="2"/>
        <v>High Risk</v>
      </c>
      <c r="P87" s="3" t="str">
        <f t="shared" si="3"/>
        <v>18-20</v>
      </c>
    </row>
    <row r="88" spans="1:16">
      <c r="A88" t="s">
        <v>122</v>
      </c>
      <c r="B88">
        <v>23</v>
      </c>
      <c r="C88" t="s">
        <v>5</v>
      </c>
      <c r="D88">
        <v>84.76</v>
      </c>
      <c r="E88">
        <v>6</v>
      </c>
      <c r="F88">
        <v>2.08</v>
      </c>
      <c r="G88">
        <v>29.55</v>
      </c>
      <c r="H88">
        <v>96.14</v>
      </c>
      <c r="I88">
        <v>11</v>
      </c>
      <c r="J88">
        <v>1</v>
      </c>
      <c r="K88">
        <f>(StudentData[[#This Row],[Midterm_Grade]]*40%)+(StudentData[[#This Row],[Final_Grade]]*60%)</f>
        <v>69.503999999999991</v>
      </c>
      <c r="L88">
        <f>StudentData[[#This Row],[Attendance_Percentage]]*40%+StudentData[[#This Row],[Assignments_Completed]]*2+StudentData[[#This Row],[Class_Participation]]*2+StudentData[[#This Row],[Projects_Submitted]]*4</f>
        <v>54.064000000000007</v>
      </c>
      <c r="M88">
        <f>StudentData[[#This Row],[Academic_Score]]*60%+StudentData[[#This Row],[Engagement_Score]]*30%+MIN(StudentData[[#This Row],[Study_Hours_per_Week]],20)/20*100*10%</f>
        <v>63.421599999999991</v>
      </c>
      <c r="N88" s="3" t="str" cm="1">
        <f t="array" ref="N88">_xlfn.IFS(StudentData[[#This Row],[Success_Score]]&gt;=85,"Exceptional",StudentData[[#This Row],[Success_Score]]&gt;=70,"Strong",StudentData[[#This Row],[Success_Score]]&gt;=55,"Developing",TRUE,"Needs Improvement")</f>
        <v>Developing</v>
      </c>
      <c r="O88" s="3" t="str">
        <f t="shared" si="2"/>
        <v>Low Risk</v>
      </c>
      <c r="P88" s="3" t="str">
        <f t="shared" si="3"/>
        <v>21-23</v>
      </c>
    </row>
    <row r="89" spans="1:16">
      <c r="A89" t="s">
        <v>123</v>
      </c>
      <c r="B89">
        <v>18</v>
      </c>
      <c r="C89" t="s">
        <v>5</v>
      </c>
      <c r="D89">
        <v>70.22</v>
      </c>
      <c r="E89">
        <v>7</v>
      </c>
      <c r="F89">
        <v>0.42</v>
      </c>
      <c r="G89">
        <v>53</v>
      </c>
      <c r="H89">
        <v>63.59</v>
      </c>
      <c r="I89">
        <v>5</v>
      </c>
      <c r="J89">
        <v>5</v>
      </c>
      <c r="K89">
        <f>(StudentData[[#This Row],[Midterm_Grade]]*40%)+(StudentData[[#This Row],[Final_Grade]]*60%)</f>
        <v>59.354000000000006</v>
      </c>
      <c r="L89">
        <f>StudentData[[#This Row],[Attendance_Percentage]]*40%+StudentData[[#This Row],[Assignments_Completed]]*2+StudentData[[#This Row],[Class_Participation]]*2+StudentData[[#This Row],[Projects_Submitted]]*4</f>
        <v>62.928000000000004</v>
      </c>
      <c r="M89">
        <f>StudentData[[#This Row],[Academic_Score]]*60%+StudentData[[#This Row],[Engagement_Score]]*30%+MIN(StudentData[[#This Row],[Study_Hours_per_Week]],20)/20*100*10%</f>
        <v>56.9908</v>
      </c>
      <c r="N89" s="3" t="str" cm="1">
        <f t="array" ref="N89">_xlfn.IFS(StudentData[[#This Row],[Success_Score]]&gt;=85,"Exceptional",StudentData[[#This Row],[Success_Score]]&gt;=70,"Strong",StudentData[[#This Row],[Success_Score]]&gt;=55,"Developing",TRUE,"Needs Improvement")</f>
        <v>Developing</v>
      </c>
      <c r="O89" s="3" t="str">
        <f t="shared" si="2"/>
        <v>Medium Risk</v>
      </c>
      <c r="P89" s="3" t="str">
        <f t="shared" si="3"/>
        <v>18-20</v>
      </c>
    </row>
    <row r="90" spans="1:16">
      <c r="A90" t="s">
        <v>124</v>
      </c>
      <c r="B90">
        <v>21</v>
      </c>
      <c r="C90" t="s">
        <v>5</v>
      </c>
      <c r="D90">
        <v>71.41</v>
      </c>
      <c r="E90">
        <v>6</v>
      </c>
      <c r="F90">
        <v>4.79</v>
      </c>
      <c r="G90">
        <v>67.84</v>
      </c>
      <c r="H90">
        <v>76.59</v>
      </c>
      <c r="I90">
        <v>10</v>
      </c>
      <c r="J90">
        <v>3</v>
      </c>
      <c r="K90">
        <f>(StudentData[[#This Row],[Midterm_Grade]]*40%)+(StudentData[[#This Row],[Final_Grade]]*60%)</f>
        <v>73.09</v>
      </c>
      <c r="L90">
        <f>StudentData[[#This Row],[Attendance_Percentage]]*40%+StudentData[[#This Row],[Assignments_Completed]]*2+StudentData[[#This Row],[Class_Participation]]*2+StudentData[[#This Row],[Projects_Submitted]]*4</f>
        <v>62.143999999999998</v>
      </c>
      <c r="M90">
        <f>StudentData[[#This Row],[Academic_Score]]*60%+StudentData[[#This Row],[Engagement_Score]]*30%+MIN(StudentData[[#This Row],[Study_Hours_per_Week]],20)/20*100*10%</f>
        <v>67.497199999999992</v>
      </c>
      <c r="N90" s="3" t="str" cm="1">
        <f t="array" ref="N90">_xlfn.IFS(StudentData[[#This Row],[Success_Score]]&gt;=85,"Exceptional",StudentData[[#This Row],[Success_Score]]&gt;=70,"Strong",StudentData[[#This Row],[Success_Score]]&gt;=55,"Developing",TRUE,"Needs Improvement")</f>
        <v>Developing</v>
      </c>
      <c r="O90" s="3" t="str">
        <f t="shared" si="2"/>
        <v>Low Risk</v>
      </c>
      <c r="P90" s="3" t="str">
        <f t="shared" si="3"/>
        <v>21-23</v>
      </c>
    </row>
    <row r="91" spans="1:16">
      <c r="A91" t="s">
        <v>125</v>
      </c>
      <c r="B91">
        <v>19</v>
      </c>
      <c r="C91" t="s">
        <v>5</v>
      </c>
      <c r="D91">
        <v>85.88</v>
      </c>
      <c r="E91">
        <v>10</v>
      </c>
      <c r="F91">
        <v>1.82</v>
      </c>
      <c r="G91">
        <v>59.28</v>
      </c>
      <c r="H91">
        <v>7.92</v>
      </c>
      <c r="I91">
        <v>7</v>
      </c>
      <c r="J91">
        <v>4</v>
      </c>
      <c r="K91">
        <f>(StudentData[[#This Row],[Midterm_Grade]]*40%)+(StudentData[[#This Row],[Final_Grade]]*60%)</f>
        <v>28.464000000000002</v>
      </c>
      <c r="L91">
        <f>StudentData[[#This Row],[Attendance_Percentage]]*40%+StudentData[[#This Row],[Assignments_Completed]]*2+StudentData[[#This Row],[Class_Participation]]*2+StudentData[[#This Row],[Projects_Submitted]]*4</f>
        <v>73.99199999999999</v>
      </c>
      <c r="M91">
        <f>StudentData[[#This Row],[Academic_Score]]*60%+StudentData[[#This Row],[Engagement_Score]]*30%+MIN(StudentData[[#This Row],[Study_Hours_per_Week]],20)/20*100*10%</f>
        <v>42.775999999999996</v>
      </c>
      <c r="N91" s="3" t="str" cm="1">
        <f t="array" ref="N9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1" s="3" t="str">
        <f t="shared" si="2"/>
        <v>Medium Risk</v>
      </c>
      <c r="P91" s="3" t="str">
        <f t="shared" si="3"/>
        <v>18-20</v>
      </c>
    </row>
    <row r="92" spans="1:16">
      <c r="A92" t="s">
        <v>126</v>
      </c>
      <c r="B92">
        <v>25</v>
      </c>
      <c r="C92" t="s">
        <v>5</v>
      </c>
      <c r="D92">
        <v>84.62</v>
      </c>
      <c r="E92">
        <v>5</v>
      </c>
      <c r="F92">
        <v>7.43</v>
      </c>
      <c r="G92">
        <v>14.84</v>
      </c>
      <c r="H92">
        <v>4.71</v>
      </c>
      <c r="I92">
        <v>11</v>
      </c>
      <c r="J92">
        <v>3</v>
      </c>
      <c r="K92">
        <f>(StudentData[[#This Row],[Midterm_Grade]]*40%)+(StudentData[[#This Row],[Final_Grade]]*60%)</f>
        <v>8.7620000000000005</v>
      </c>
      <c r="L92">
        <f>StudentData[[#This Row],[Attendance_Percentage]]*40%+StudentData[[#This Row],[Assignments_Completed]]*2+StudentData[[#This Row],[Class_Participation]]*2+StudentData[[#This Row],[Projects_Submitted]]*4</f>
        <v>70.707999999999998</v>
      </c>
      <c r="M92">
        <f>StudentData[[#This Row],[Academic_Score]]*60%+StudentData[[#This Row],[Engagement_Score]]*30%+MIN(StudentData[[#This Row],[Study_Hours_per_Week]],20)/20*100*10%</f>
        <v>31.9696</v>
      </c>
      <c r="N92" s="3" t="str" cm="1">
        <f t="array" ref="N9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2" s="3" t="str">
        <f t="shared" si="2"/>
        <v>Medium Risk</v>
      </c>
      <c r="P92" s="3" t="str">
        <f t="shared" si="3"/>
        <v>24-25</v>
      </c>
    </row>
    <row r="93" spans="1:16">
      <c r="A93" t="s">
        <v>127</v>
      </c>
      <c r="B93">
        <v>21</v>
      </c>
      <c r="C93" t="s">
        <v>4</v>
      </c>
      <c r="D93">
        <v>99.56</v>
      </c>
      <c r="E93">
        <v>6</v>
      </c>
      <c r="F93">
        <v>8.48</v>
      </c>
      <c r="G93">
        <v>17.21</v>
      </c>
      <c r="H93">
        <v>1.94</v>
      </c>
      <c r="I93">
        <v>1</v>
      </c>
      <c r="J93">
        <v>0</v>
      </c>
      <c r="K93">
        <f>(StudentData[[#This Row],[Midterm_Grade]]*40%)+(StudentData[[#This Row],[Final_Grade]]*60%)</f>
        <v>8.048</v>
      </c>
      <c r="L93">
        <f>StudentData[[#This Row],[Attendance_Percentage]]*40%+StudentData[[#This Row],[Assignments_Completed]]*2+StudentData[[#This Row],[Class_Participation]]*2+StudentData[[#This Row],[Projects_Submitted]]*4</f>
        <v>68.784000000000006</v>
      </c>
      <c r="M93">
        <f>StudentData[[#This Row],[Academic_Score]]*60%+StudentData[[#This Row],[Engagement_Score]]*30%+MIN(StudentData[[#This Row],[Study_Hours_per_Week]],20)/20*100*10%</f>
        <v>25.964000000000002</v>
      </c>
      <c r="N93" s="3" t="str" cm="1">
        <f t="array" ref="N9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3" s="3" t="str">
        <f t="shared" si="2"/>
        <v>Medium Risk</v>
      </c>
      <c r="P93" s="3" t="str">
        <f t="shared" si="3"/>
        <v>21-23</v>
      </c>
    </row>
    <row r="94" spans="1:16">
      <c r="A94" t="s">
        <v>128</v>
      </c>
      <c r="B94">
        <v>19</v>
      </c>
      <c r="C94" t="s">
        <v>5</v>
      </c>
      <c r="D94">
        <v>56.42</v>
      </c>
      <c r="E94">
        <v>4</v>
      </c>
      <c r="F94">
        <v>5.46</v>
      </c>
      <c r="G94">
        <v>87.88</v>
      </c>
      <c r="H94">
        <v>18.88</v>
      </c>
      <c r="I94">
        <v>8</v>
      </c>
      <c r="J94">
        <v>3</v>
      </c>
      <c r="K94">
        <f>(StudentData[[#This Row],[Midterm_Grade]]*40%)+(StudentData[[#This Row],[Final_Grade]]*60%)</f>
        <v>46.480000000000004</v>
      </c>
      <c r="L94">
        <f>StudentData[[#This Row],[Attendance_Percentage]]*40%+StudentData[[#This Row],[Assignments_Completed]]*2+StudentData[[#This Row],[Class_Participation]]*2+StudentData[[#This Row],[Projects_Submitted]]*4</f>
        <v>53.488</v>
      </c>
      <c r="M94">
        <f>StudentData[[#This Row],[Academic_Score]]*60%+StudentData[[#This Row],[Engagement_Score]]*30%+MIN(StudentData[[#This Row],[Study_Hours_per_Week]],20)/20*100*10%</f>
        <v>47.934399999999997</v>
      </c>
      <c r="N94" s="3" t="str" cm="1">
        <f t="array" ref="N9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4" s="3" t="str">
        <f t="shared" si="2"/>
        <v>High Risk</v>
      </c>
      <c r="P94" s="3" t="str">
        <f t="shared" si="3"/>
        <v>18-20</v>
      </c>
    </row>
    <row r="95" spans="1:16">
      <c r="A95" t="s">
        <v>129</v>
      </c>
      <c r="B95">
        <v>23</v>
      </c>
      <c r="C95" t="s">
        <v>5</v>
      </c>
      <c r="D95">
        <v>55.21</v>
      </c>
      <c r="E95">
        <v>6</v>
      </c>
      <c r="F95">
        <v>9.82</v>
      </c>
      <c r="G95">
        <v>55.84</v>
      </c>
      <c r="H95">
        <v>41.44</v>
      </c>
      <c r="I95">
        <v>14</v>
      </c>
      <c r="J95">
        <v>4</v>
      </c>
      <c r="K95">
        <f>(StudentData[[#This Row],[Midterm_Grade]]*40%)+(StudentData[[#This Row],[Final_Grade]]*60%)</f>
        <v>47.2</v>
      </c>
      <c r="L95">
        <f>StudentData[[#This Row],[Attendance_Percentage]]*40%+StudentData[[#This Row],[Assignments_Completed]]*2+StudentData[[#This Row],[Class_Participation]]*2+StudentData[[#This Row],[Projects_Submitted]]*4</f>
        <v>69.724000000000004</v>
      </c>
      <c r="M95">
        <f>StudentData[[#This Row],[Academic_Score]]*60%+StudentData[[#This Row],[Engagement_Score]]*30%+MIN(StudentData[[#This Row],[Study_Hours_per_Week]],20)/20*100*10%</f>
        <v>56.237200000000001</v>
      </c>
      <c r="N95" s="3" t="str" cm="1">
        <f t="array" ref="N95">_xlfn.IFS(StudentData[[#This Row],[Success_Score]]&gt;=85,"Exceptional",StudentData[[#This Row],[Success_Score]]&gt;=70,"Strong",StudentData[[#This Row],[Success_Score]]&gt;=55,"Developing",TRUE,"Needs Improvement")</f>
        <v>Developing</v>
      </c>
      <c r="O95" s="3" t="str">
        <f t="shared" si="2"/>
        <v>High Risk</v>
      </c>
      <c r="P95" s="3" t="str">
        <f t="shared" si="3"/>
        <v>21-23</v>
      </c>
    </row>
    <row r="96" spans="1:16">
      <c r="A96" t="s">
        <v>130</v>
      </c>
      <c r="B96">
        <v>23</v>
      </c>
      <c r="C96" t="s">
        <v>4</v>
      </c>
      <c r="D96">
        <v>86.22</v>
      </c>
      <c r="E96">
        <v>0</v>
      </c>
      <c r="F96">
        <v>4.5</v>
      </c>
      <c r="G96">
        <v>86.99</v>
      </c>
      <c r="H96">
        <v>93.58</v>
      </c>
      <c r="I96">
        <v>1</v>
      </c>
      <c r="J96">
        <v>0</v>
      </c>
      <c r="K96">
        <f>(StudentData[[#This Row],[Midterm_Grade]]*40%)+(StudentData[[#This Row],[Final_Grade]]*60%)</f>
        <v>90.943999999999988</v>
      </c>
      <c r="L96">
        <f>StudentData[[#This Row],[Attendance_Percentage]]*40%+StudentData[[#This Row],[Assignments_Completed]]*2+StudentData[[#This Row],[Class_Participation]]*2+StudentData[[#This Row],[Projects_Submitted]]*4</f>
        <v>43.488</v>
      </c>
      <c r="M96">
        <f>StudentData[[#This Row],[Academic_Score]]*60%+StudentData[[#This Row],[Engagement_Score]]*30%+MIN(StudentData[[#This Row],[Study_Hours_per_Week]],20)/20*100*10%</f>
        <v>68.112799999999993</v>
      </c>
      <c r="N96" s="3" t="str" cm="1">
        <f t="array" ref="N96">_xlfn.IFS(StudentData[[#This Row],[Success_Score]]&gt;=85,"Exceptional",StudentData[[#This Row],[Success_Score]]&gt;=70,"Strong",StudentData[[#This Row],[Success_Score]]&gt;=55,"Developing",TRUE,"Needs Improvement")</f>
        <v>Developing</v>
      </c>
      <c r="O96" s="3" t="str">
        <f t="shared" si="2"/>
        <v>Low Risk</v>
      </c>
      <c r="P96" s="3" t="str">
        <f t="shared" si="3"/>
        <v>21-23</v>
      </c>
    </row>
    <row r="97" spans="1:16">
      <c r="A97" t="s">
        <v>131</v>
      </c>
      <c r="B97">
        <v>23</v>
      </c>
      <c r="C97" t="s">
        <v>4</v>
      </c>
      <c r="D97">
        <v>78.92</v>
      </c>
      <c r="E97">
        <v>0</v>
      </c>
      <c r="F97">
        <v>5.13</v>
      </c>
      <c r="G97">
        <v>37.15</v>
      </c>
      <c r="H97">
        <v>45.71</v>
      </c>
      <c r="I97">
        <v>0</v>
      </c>
      <c r="J97">
        <v>2</v>
      </c>
      <c r="K97">
        <f>(StudentData[[#This Row],[Midterm_Grade]]*40%)+(StudentData[[#This Row],[Final_Grade]]*60%)</f>
        <v>42.286000000000001</v>
      </c>
      <c r="L97">
        <f>StudentData[[#This Row],[Attendance_Percentage]]*40%+StudentData[[#This Row],[Assignments_Completed]]*2+StudentData[[#This Row],[Class_Participation]]*2+StudentData[[#This Row],[Projects_Submitted]]*4</f>
        <v>49.828000000000003</v>
      </c>
      <c r="M97">
        <f>StudentData[[#This Row],[Academic_Score]]*60%+StudentData[[#This Row],[Engagement_Score]]*30%+MIN(StudentData[[#This Row],[Study_Hours_per_Week]],20)/20*100*10%</f>
        <v>40.32</v>
      </c>
      <c r="N97" s="3" t="str" cm="1">
        <f t="array" ref="N9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7" s="3" t="str">
        <f t="shared" si="2"/>
        <v>Medium Risk</v>
      </c>
      <c r="P97" s="3" t="str">
        <f t="shared" si="3"/>
        <v>21-23</v>
      </c>
    </row>
    <row r="98" spans="1:16">
      <c r="A98" t="s">
        <v>132</v>
      </c>
      <c r="B98">
        <v>19</v>
      </c>
      <c r="C98" t="s">
        <v>4</v>
      </c>
      <c r="D98">
        <v>63.71</v>
      </c>
      <c r="E98">
        <v>8</v>
      </c>
      <c r="F98">
        <v>9.89</v>
      </c>
      <c r="G98">
        <v>61.44</v>
      </c>
      <c r="H98">
        <v>29.03</v>
      </c>
      <c r="I98">
        <v>9</v>
      </c>
      <c r="J98">
        <v>0</v>
      </c>
      <c r="K98">
        <f>(StudentData[[#This Row],[Midterm_Grade]]*40%)+(StudentData[[#This Row],[Final_Grade]]*60%)</f>
        <v>41.994</v>
      </c>
      <c r="L98">
        <f>StudentData[[#This Row],[Attendance_Percentage]]*40%+StudentData[[#This Row],[Assignments_Completed]]*2+StudentData[[#This Row],[Class_Participation]]*2+StudentData[[#This Row],[Projects_Submitted]]*4</f>
        <v>61.264000000000003</v>
      </c>
      <c r="M98">
        <f>StudentData[[#This Row],[Academic_Score]]*60%+StudentData[[#This Row],[Engagement_Score]]*30%+MIN(StudentData[[#This Row],[Study_Hours_per_Week]],20)/20*100*10%</f>
        <v>48.075600000000001</v>
      </c>
      <c r="N98" s="3" t="str" cm="1">
        <f t="array" ref="N9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8" s="3" t="str">
        <f t="shared" si="2"/>
        <v>Medium Risk</v>
      </c>
      <c r="P98" s="3" t="str">
        <f t="shared" si="3"/>
        <v>18-20</v>
      </c>
    </row>
    <row r="99" spans="1:16">
      <c r="A99" t="s">
        <v>133</v>
      </c>
      <c r="B99">
        <v>21</v>
      </c>
      <c r="C99" t="s">
        <v>5</v>
      </c>
      <c r="D99">
        <v>53.97</v>
      </c>
      <c r="E99">
        <v>4</v>
      </c>
      <c r="F99">
        <v>2.3199999999999998</v>
      </c>
      <c r="G99">
        <v>52.37</v>
      </c>
      <c r="H99">
        <v>56.19</v>
      </c>
      <c r="I99">
        <v>1</v>
      </c>
      <c r="J99">
        <v>5</v>
      </c>
      <c r="K99">
        <f>(StudentData[[#This Row],[Midterm_Grade]]*40%)+(StudentData[[#This Row],[Final_Grade]]*60%)</f>
        <v>54.661999999999999</v>
      </c>
      <c r="L99">
        <f>StudentData[[#This Row],[Attendance_Percentage]]*40%+StudentData[[#This Row],[Assignments_Completed]]*2+StudentData[[#This Row],[Class_Participation]]*2+StudentData[[#This Row],[Projects_Submitted]]*4</f>
        <v>54.228000000000002</v>
      </c>
      <c r="M99">
        <f>StudentData[[#This Row],[Academic_Score]]*60%+StudentData[[#This Row],[Engagement_Score]]*30%+MIN(StudentData[[#This Row],[Study_Hours_per_Week]],20)/20*100*10%</f>
        <v>49.565599999999996</v>
      </c>
      <c r="N99" s="3" t="str" cm="1">
        <f t="array" ref="N9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9" s="3" t="str">
        <f t="shared" si="2"/>
        <v>Medium Risk</v>
      </c>
      <c r="P99" s="3" t="str">
        <f t="shared" si="3"/>
        <v>21-23</v>
      </c>
    </row>
    <row r="100" spans="1:16">
      <c r="A100" t="s">
        <v>134</v>
      </c>
      <c r="B100">
        <v>23</v>
      </c>
      <c r="C100" t="s">
        <v>5</v>
      </c>
      <c r="D100">
        <v>54.28</v>
      </c>
      <c r="E100">
        <v>4</v>
      </c>
      <c r="F100">
        <v>9.43</v>
      </c>
      <c r="G100">
        <v>31.91</v>
      </c>
      <c r="H100">
        <v>11.19</v>
      </c>
      <c r="I100">
        <v>11</v>
      </c>
      <c r="J100">
        <v>1</v>
      </c>
      <c r="K100">
        <f>(StudentData[[#This Row],[Midterm_Grade]]*40%)+(StudentData[[#This Row],[Final_Grade]]*60%)</f>
        <v>19.478000000000002</v>
      </c>
      <c r="L100">
        <f>StudentData[[#This Row],[Attendance_Percentage]]*40%+StudentData[[#This Row],[Assignments_Completed]]*2+StudentData[[#This Row],[Class_Participation]]*2+StudentData[[#This Row],[Projects_Submitted]]*4</f>
        <v>52.572000000000003</v>
      </c>
      <c r="M100">
        <f>StudentData[[#This Row],[Academic_Score]]*60%+StudentData[[#This Row],[Engagement_Score]]*30%+MIN(StudentData[[#This Row],[Study_Hours_per_Week]],20)/20*100*10%</f>
        <v>32.958399999999997</v>
      </c>
      <c r="N100" s="3" t="str" cm="1">
        <f t="array" ref="N10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00" s="3" t="str">
        <f t="shared" si="2"/>
        <v>High Risk</v>
      </c>
      <c r="P100" s="3" t="str">
        <f t="shared" si="3"/>
        <v>21-23</v>
      </c>
    </row>
    <row r="101" spans="1:16">
      <c r="A101" t="s">
        <v>135</v>
      </c>
      <c r="B101">
        <v>22</v>
      </c>
      <c r="C101" t="s">
        <v>5</v>
      </c>
      <c r="D101">
        <v>94.71</v>
      </c>
      <c r="E101">
        <v>2</v>
      </c>
      <c r="F101">
        <v>0.43</v>
      </c>
      <c r="G101">
        <v>46.99</v>
      </c>
      <c r="H101">
        <v>60.95</v>
      </c>
      <c r="I101">
        <v>7</v>
      </c>
      <c r="J101">
        <v>5</v>
      </c>
      <c r="K101">
        <f>(StudentData[[#This Row],[Midterm_Grade]]*40%)+(StudentData[[#This Row],[Final_Grade]]*60%)</f>
        <v>55.366</v>
      </c>
      <c r="L101">
        <f>StudentData[[#This Row],[Attendance_Percentage]]*40%+StudentData[[#This Row],[Assignments_Completed]]*2+StudentData[[#This Row],[Class_Participation]]*2+StudentData[[#This Row],[Projects_Submitted]]*4</f>
        <v>62.744</v>
      </c>
      <c r="M101">
        <f>StudentData[[#This Row],[Academic_Score]]*60%+StudentData[[#This Row],[Engagement_Score]]*30%+MIN(StudentData[[#This Row],[Study_Hours_per_Week]],20)/20*100*10%</f>
        <v>55.5428</v>
      </c>
      <c r="N101" s="3" t="str" cm="1">
        <f t="array" ref="N101">_xlfn.IFS(StudentData[[#This Row],[Success_Score]]&gt;=85,"Exceptional",StudentData[[#This Row],[Success_Score]]&gt;=70,"Strong",StudentData[[#This Row],[Success_Score]]&gt;=55,"Developing",TRUE,"Needs Improvement")</f>
        <v>Developing</v>
      </c>
      <c r="O101" s="3" t="str">
        <f t="shared" si="2"/>
        <v>Medium Risk</v>
      </c>
      <c r="P101" s="3" t="str">
        <f t="shared" si="3"/>
        <v>21-23</v>
      </c>
    </row>
    <row r="102" spans="1:16">
      <c r="A102" t="s">
        <v>136</v>
      </c>
      <c r="B102">
        <v>24</v>
      </c>
      <c r="C102" t="s">
        <v>5</v>
      </c>
      <c r="D102">
        <v>59.59</v>
      </c>
      <c r="E102">
        <v>4</v>
      </c>
      <c r="F102">
        <v>4.46</v>
      </c>
      <c r="G102">
        <v>50.25</v>
      </c>
      <c r="H102">
        <v>56.84</v>
      </c>
      <c r="I102">
        <v>4</v>
      </c>
      <c r="J102">
        <v>0</v>
      </c>
      <c r="K102">
        <f>(StudentData[[#This Row],[Midterm_Grade]]*40%)+(StudentData[[#This Row],[Final_Grade]]*60%)</f>
        <v>54.204000000000001</v>
      </c>
      <c r="L102">
        <f>StudentData[[#This Row],[Attendance_Percentage]]*40%+StudentData[[#This Row],[Assignments_Completed]]*2+StudentData[[#This Row],[Class_Participation]]*2+StudentData[[#This Row],[Projects_Submitted]]*4</f>
        <v>40.756</v>
      </c>
      <c r="M102">
        <f>StudentData[[#This Row],[Academic_Score]]*60%+StudentData[[#This Row],[Engagement_Score]]*30%+MIN(StudentData[[#This Row],[Study_Hours_per_Week]],20)/20*100*10%</f>
        <v>46.749199999999995</v>
      </c>
      <c r="N102" s="3" t="str" cm="1">
        <f t="array" ref="N10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02" s="3" t="str">
        <f t="shared" si="2"/>
        <v>Medium Risk</v>
      </c>
      <c r="P102" s="3" t="str">
        <f t="shared" si="3"/>
        <v>24-25</v>
      </c>
    </row>
    <row r="103" spans="1:16">
      <c r="A103" t="s">
        <v>137</v>
      </c>
      <c r="B103">
        <v>19</v>
      </c>
      <c r="C103" t="s">
        <v>5</v>
      </c>
      <c r="D103">
        <v>66.17</v>
      </c>
      <c r="E103">
        <v>2</v>
      </c>
      <c r="F103">
        <v>0.7</v>
      </c>
      <c r="G103">
        <v>20.079999999999998</v>
      </c>
      <c r="H103">
        <v>79.2</v>
      </c>
      <c r="I103">
        <v>0</v>
      </c>
      <c r="J103">
        <v>2</v>
      </c>
      <c r="K103">
        <f>(StudentData[[#This Row],[Midterm_Grade]]*40%)+(StudentData[[#This Row],[Final_Grade]]*60%)</f>
        <v>55.552000000000007</v>
      </c>
      <c r="L103">
        <f>StudentData[[#This Row],[Attendance_Percentage]]*40%+StudentData[[#This Row],[Assignments_Completed]]*2+StudentData[[#This Row],[Class_Participation]]*2+StudentData[[#This Row],[Projects_Submitted]]*4</f>
        <v>39.868000000000002</v>
      </c>
      <c r="M103">
        <f>StudentData[[#This Row],[Academic_Score]]*60%+StudentData[[#This Row],[Engagement_Score]]*30%+MIN(StudentData[[#This Row],[Study_Hours_per_Week]],20)/20*100*10%</f>
        <v>45.291600000000003</v>
      </c>
      <c r="N103" s="3" t="str" cm="1">
        <f t="array" ref="N10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03" s="3" t="str">
        <f t="shared" si="2"/>
        <v>Medium Risk</v>
      </c>
      <c r="P103" s="3" t="str">
        <f t="shared" si="3"/>
        <v>18-20</v>
      </c>
    </row>
    <row r="104" spans="1:16">
      <c r="A104" t="s">
        <v>138</v>
      </c>
      <c r="B104">
        <v>19</v>
      </c>
      <c r="C104" t="s">
        <v>5</v>
      </c>
      <c r="D104">
        <v>61.33</v>
      </c>
      <c r="E104">
        <v>8</v>
      </c>
      <c r="F104">
        <v>7.29</v>
      </c>
      <c r="G104">
        <v>31.5</v>
      </c>
      <c r="H104">
        <v>98.67</v>
      </c>
      <c r="I104">
        <v>14</v>
      </c>
      <c r="J104">
        <v>3</v>
      </c>
      <c r="K104">
        <f>(StudentData[[#This Row],[Midterm_Grade]]*40%)+(StudentData[[#This Row],[Final_Grade]]*60%)</f>
        <v>71.801999999999992</v>
      </c>
      <c r="L104">
        <f>StudentData[[#This Row],[Attendance_Percentage]]*40%+StudentData[[#This Row],[Assignments_Completed]]*2+StudentData[[#This Row],[Class_Participation]]*2+StudentData[[#This Row],[Projects_Submitted]]*4</f>
        <v>67.111999999999995</v>
      </c>
      <c r="M104">
        <f>StudentData[[#This Row],[Academic_Score]]*60%+StudentData[[#This Row],[Engagement_Score]]*30%+MIN(StudentData[[#This Row],[Study_Hours_per_Week]],20)/20*100*10%</f>
        <v>70.214799999999997</v>
      </c>
      <c r="N104" s="3" t="str" cm="1">
        <f t="array" ref="N104">_xlfn.IFS(StudentData[[#This Row],[Success_Score]]&gt;=85,"Exceptional",StudentData[[#This Row],[Success_Score]]&gt;=70,"Strong",StudentData[[#This Row],[Success_Score]]&gt;=55,"Developing",TRUE,"Needs Improvement")</f>
        <v>Strong</v>
      </c>
      <c r="O104" s="3" t="str">
        <f t="shared" si="2"/>
        <v>Medium Risk</v>
      </c>
      <c r="P104" s="3" t="str">
        <f t="shared" si="3"/>
        <v>18-20</v>
      </c>
    </row>
    <row r="105" spans="1:16">
      <c r="A105" t="s">
        <v>139</v>
      </c>
      <c r="B105">
        <v>21</v>
      </c>
      <c r="C105" t="s">
        <v>5</v>
      </c>
      <c r="D105">
        <v>67.75</v>
      </c>
      <c r="E105">
        <v>8</v>
      </c>
      <c r="F105">
        <v>6.08</v>
      </c>
      <c r="G105">
        <v>79.14</v>
      </c>
      <c r="H105">
        <v>25.09</v>
      </c>
      <c r="I105">
        <v>5</v>
      </c>
      <c r="J105">
        <v>0</v>
      </c>
      <c r="K105">
        <f>(StudentData[[#This Row],[Midterm_Grade]]*40%)+(StudentData[[#This Row],[Final_Grade]]*60%)</f>
        <v>46.71</v>
      </c>
      <c r="L105">
        <f>StudentData[[#This Row],[Attendance_Percentage]]*40%+StudentData[[#This Row],[Assignments_Completed]]*2+StudentData[[#This Row],[Class_Participation]]*2+StudentData[[#This Row],[Projects_Submitted]]*4</f>
        <v>55.260000000000005</v>
      </c>
      <c r="M105">
        <f>StudentData[[#This Row],[Academic_Score]]*60%+StudentData[[#This Row],[Engagement_Score]]*30%+MIN(StudentData[[#This Row],[Study_Hours_per_Week]],20)/20*100*10%</f>
        <v>47.103999999999999</v>
      </c>
      <c r="N105" s="3" t="str" cm="1">
        <f t="array" ref="N10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05" s="3" t="str">
        <f t="shared" si="2"/>
        <v>Medium Risk</v>
      </c>
      <c r="P105" s="3" t="str">
        <f t="shared" si="3"/>
        <v>21-23</v>
      </c>
    </row>
    <row r="106" spans="1:16">
      <c r="A106" t="s">
        <v>140</v>
      </c>
      <c r="B106">
        <v>19</v>
      </c>
      <c r="C106" t="s">
        <v>5</v>
      </c>
      <c r="D106">
        <v>53.47</v>
      </c>
      <c r="E106">
        <v>5</v>
      </c>
      <c r="F106">
        <v>7.07</v>
      </c>
      <c r="G106">
        <v>91.58</v>
      </c>
      <c r="H106">
        <v>50.97</v>
      </c>
      <c r="I106">
        <v>11</v>
      </c>
      <c r="J106">
        <v>5</v>
      </c>
      <c r="K106">
        <f>(StudentData[[#This Row],[Midterm_Grade]]*40%)+(StudentData[[#This Row],[Final_Grade]]*60%)</f>
        <v>67.213999999999999</v>
      </c>
      <c r="L106">
        <f>StudentData[[#This Row],[Attendance_Percentage]]*40%+StudentData[[#This Row],[Assignments_Completed]]*2+StudentData[[#This Row],[Class_Participation]]*2+StudentData[[#This Row],[Projects_Submitted]]*4</f>
        <v>65.528000000000006</v>
      </c>
      <c r="M106">
        <f>StudentData[[#This Row],[Academic_Score]]*60%+StudentData[[#This Row],[Engagement_Score]]*30%+MIN(StudentData[[#This Row],[Study_Hours_per_Week]],20)/20*100*10%</f>
        <v>65.486800000000002</v>
      </c>
      <c r="N106" s="3" t="str" cm="1">
        <f t="array" ref="N106">_xlfn.IFS(StudentData[[#This Row],[Success_Score]]&gt;=85,"Exceptional",StudentData[[#This Row],[Success_Score]]&gt;=70,"Strong",StudentData[[#This Row],[Success_Score]]&gt;=55,"Developing",TRUE,"Needs Improvement")</f>
        <v>Developing</v>
      </c>
      <c r="O106" s="3" t="str">
        <f t="shared" si="2"/>
        <v>Medium Risk</v>
      </c>
      <c r="P106" s="3" t="str">
        <f t="shared" si="3"/>
        <v>18-20</v>
      </c>
    </row>
    <row r="107" spans="1:16">
      <c r="A107" t="s">
        <v>141</v>
      </c>
      <c r="B107">
        <v>19</v>
      </c>
      <c r="C107" t="s">
        <v>4</v>
      </c>
      <c r="D107">
        <v>75.95</v>
      </c>
      <c r="E107">
        <v>0</v>
      </c>
      <c r="F107">
        <v>3.74</v>
      </c>
      <c r="G107">
        <v>35.979999999999997</v>
      </c>
      <c r="H107">
        <v>90.89</v>
      </c>
      <c r="I107">
        <v>7</v>
      </c>
      <c r="J107">
        <v>0</v>
      </c>
      <c r="K107">
        <f>(StudentData[[#This Row],[Midterm_Grade]]*40%)+(StudentData[[#This Row],[Final_Grade]]*60%)</f>
        <v>68.926000000000002</v>
      </c>
      <c r="L107">
        <f>StudentData[[#This Row],[Attendance_Percentage]]*40%+StudentData[[#This Row],[Assignments_Completed]]*2+StudentData[[#This Row],[Class_Participation]]*2+StudentData[[#This Row],[Projects_Submitted]]*4</f>
        <v>37.86</v>
      </c>
      <c r="M107">
        <f>StudentData[[#This Row],[Academic_Score]]*60%+StudentData[[#This Row],[Engagement_Score]]*30%+MIN(StudentData[[#This Row],[Study_Hours_per_Week]],20)/20*100*10%</f>
        <v>56.2136</v>
      </c>
      <c r="N107" s="3" t="str" cm="1">
        <f t="array" ref="N107">_xlfn.IFS(StudentData[[#This Row],[Success_Score]]&gt;=85,"Exceptional",StudentData[[#This Row],[Success_Score]]&gt;=70,"Strong",StudentData[[#This Row],[Success_Score]]&gt;=55,"Developing",TRUE,"Needs Improvement")</f>
        <v>Developing</v>
      </c>
      <c r="O107" s="3" t="str">
        <f t="shared" si="2"/>
        <v>Low Risk</v>
      </c>
      <c r="P107" s="3" t="str">
        <f t="shared" si="3"/>
        <v>18-20</v>
      </c>
    </row>
    <row r="108" spans="1:16">
      <c r="A108" t="s">
        <v>142</v>
      </c>
      <c r="B108">
        <v>23</v>
      </c>
      <c r="C108" t="s">
        <v>5</v>
      </c>
      <c r="D108">
        <v>53.38</v>
      </c>
      <c r="E108">
        <v>6</v>
      </c>
      <c r="F108">
        <v>3.69</v>
      </c>
      <c r="G108">
        <v>30.7</v>
      </c>
      <c r="H108">
        <v>78.52</v>
      </c>
      <c r="I108">
        <v>12</v>
      </c>
      <c r="J108">
        <v>0</v>
      </c>
      <c r="K108">
        <f>(StudentData[[#This Row],[Midterm_Grade]]*40%)+(StudentData[[#This Row],[Final_Grade]]*60%)</f>
        <v>59.391999999999996</v>
      </c>
      <c r="L108">
        <f>StudentData[[#This Row],[Attendance_Percentage]]*40%+StudentData[[#This Row],[Assignments_Completed]]*2+StudentData[[#This Row],[Class_Participation]]*2+StudentData[[#This Row],[Projects_Submitted]]*4</f>
        <v>40.732000000000006</v>
      </c>
      <c r="M108">
        <f>StudentData[[#This Row],[Academic_Score]]*60%+StudentData[[#This Row],[Engagement_Score]]*30%+MIN(StudentData[[#This Row],[Study_Hours_per_Week]],20)/20*100*10%</f>
        <v>53.854799999999997</v>
      </c>
      <c r="N108" s="3" t="str" cm="1">
        <f t="array" ref="N10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08" s="3" t="str">
        <f t="shared" si="2"/>
        <v>Medium Risk</v>
      </c>
      <c r="P108" s="3" t="str">
        <f t="shared" si="3"/>
        <v>21-23</v>
      </c>
    </row>
    <row r="109" spans="1:16">
      <c r="A109" t="s">
        <v>143</v>
      </c>
      <c r="B109">
        <v>21</v>
      </c>
      <c r="C109" t="s">
        <v>5</v>
      </c>
      <c r="D109">
        <v>90.02</v>
      </c>
      <c r="E109">
        <v>6</v>
      </c>
      <c r="F109">
        <v>0.45</v>
      </c>
      <c r="G109">
        <v>19.52</v>
      </c>
      <c r="H109">
        <v>48.74</v>
      </c>
      <c r="I109">
        <v>18</v>
      </c>
      <c r="J109">
        <v>0</v>
      </c>
      <c r="K109">
        <f>(StudentData[[#This Row],[Midterm_Grade]]*40%)+(StudentData[[#This Row],[Final_Grade]]*60%)</f>
        <v>37.052</v>
      </c>
      <c r="L109">
        <f>StudentData[[#This Row],[Attendance_Percentage]]*40%+StudentData[[#This Row],[Assignments_Completed]]*2+StudentData[[#This Row],[Class_Participation]]*2+StudentData[[#This Row],[Projects_Submitted]]*4</f>
        <v>48.908000000000001</v>
      </c>
      <c r="M109">
        <f>StudentData[[#This Row],[Academic_Score]]*60%+StudentData[[#This Row],[Engagement_Score]]*30%+MIN(StudentData[[#This Row],[Study_Hours_per_Week]],20)/20*100*10%</f>
        <v>45.903599999999997</v>
      </c>
      <c r="N109" s="3" t="str" cm="1">
        <f t="array" ref="N10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09" s="3" t="str">
        <f t="shared" si="2"/>
        <v>Medium Risk</v>
      </c>
      <c r="P109" s="3" t="str">
        <f t="shared" si="3"/>
        <v>21-23</v>
      </c>
    </row>
    <row r="110" spans="1:16">
      <c r="A110" t="s">
        <v>144</v>
      </c>
      <c r="B110">
        <v>23</v>
      </c>
      <c r="C110" t="s">
        <v>4</v>
      </c>
      <c r="D110">
        <v>61.69</v>
      </c>
      <c r="E110">
        <v>9</v>
      </c>
      <c r="F110">
        <v>3.5</v>
      </c>
      <c r="G110">
        <v>67.849999999999994</v>
      </c>
      <c r="H110">
        <v>94.54</v>
      </c>
      <c r="I110">
        <v>0</v>
      </c>
      <c r="J110">
        <v>2</v>
      </c>
      <c r="K110">
        <f>(StudentData[[#This Row],[Midterm_Grade]]*40%)+(StudentData[[#This Row],[Final_Grade]]*60%)</f>
        <v>83.864000000000004</v>
      </c>
      <c r="L110">
        <f>StudentData[[#This Row],[Attendance_Percentage]]*40%+StudentData[[#This Row],[Assignments_Completed]]*2+StudentData[[#This Row],[Class_Participation]]*2+StudentData[[#This Row],[Projects_Submitted]]*4</f>
        <v>57.676000000000002</v>
      </c>
      <c r="M110">
        <f>StudentData[[#This Row],[Academic_Score]]*60%+StudentData[[#This Row],[Engagement_Score]]*30%+MIN(StudentData[[#This Row],[Study_Hours_per_Week]],20)/20*100*10%</f>
        <v>67.621200000000002</v>
      </c>
      <c r="N110" s="3" t="str" cm="1">
        <f t="array" ref="N110">_xlfn.IFS(StudentData[[#This Row],[Success_Score]]&gt;=85,"Exceptional",StudentData[[#This Row],[Success_Score]]&gt;=70,"Strong",StudentData[[#This Row],[Success_Score]]&gt;=55,"Developing",TRUE,"Needs Improvement")</f>
        <v>Developing</v>
      </c>
      <c r="O110" s="3" t="str">
        <f t="shared" si="2"/>
        <v>Medium Risk</v>
      </c>
      <c r="P110" s="3" t="str">
        <f t="shared" si="3"/>
        <v>21-23</v>
      </c>
    </row>
    <row r="111" spans="1:16">
      <c r="A111" t="s">
        <v>145</v>
      </c>
      <c r="B111">
        <v>24</v>
      </c>
      <c r="C111" t="s">
        <v>4</v>
      </c>
      <c r="D111">
        <v>77</v>
      </c>
      <c r="E111">
        <v>9</v>
      </c>
      <c r="F111">
        <v>9.2899999999999991</v>
      </c>
      <c r="G111">
        <v>32.31</v>
      </c>
      <c r="H111">
        <v>5.72</v>
      </c>
      <c r="I111">
        <v>10</v>
      </c>
      <c r="J111">
        <v>4</v>
      </c>
      <c r="K111">
        <f>(StudentData[[#This Row],[Midterm_Grade]]*40%)+(StudentData[[#This Row],[Final_Grade]]*60%)</f>
        <v>16.356000000000002</v>
      </c>
      <c r="L111">
        <f>StudentData[[#This Row],[Attendance_Percentage]]*40%+StudentData[[#This Row],[Assignments_Completed]]*2+StudentData[[#This Row],[Class_Participation]]*2+StudentData[[#This Row],[Projects_Submitted]]*4</f>
        <v>83.38</v>
      </c>
      <c r="M111">
        <f>StudentData[[#This Row],[Academic_Score]]*60%+StudentData[[#This Row],[Engagement_Score]]*30%+MIN(StudentData[[#This Row],[Study_Hours_per_Week]],20)/20*100*10%</f>
        <v>39.827600000000004</v>
      </c>
      <c r="N111" s="3" t="str" cm="1">
        <f t="array" ref="N11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11" s="3" t="str">
        <f t="shared" si="2"/>
        <v>Medium Risk</v>
      </c>
      <c r="P111" s="3" t="str">
        <f t="shared" si="3"/>
        <v>24-25</v>
      </c>
    </row>
    <row r="112" spans="1:16">
      <c r="A112" t="s">
        <v>146</v>
      </c>
      <c r="B112">
        <v>25</v>
      </c>
      <c r="C112" t="s">
        <v>5</v>
      </c>
      <c r="D112">
        <v>94</v>
      </c>
      <c r="E112">
        <v>3</v>
      </c>
      <c r="F112">
        <v>3.79</v>
      </c>
      <c r="G112">
        <v>98.77</v>
      </c>
      <c r="H112">
        <v>93.1</v>
      </c>
      <c r="I112">
        <v>19</v>
      </c>
      <c r="J112">
        <v>4</v>
      </c>
      <c r="K112">
        <f>(StudentData[[#This Row],[Midterm_Grade]]*40%)+(StudentData[[#This Row],[Final_Grade]]*60%)</f>
        <v>95.367999999999995</v>
      </c>
      <c r="L112">
        <f>StudentData[[#This Row],[Attendance_Percentage]]*40%+StudentData[[#This Row],[Assignments_Completed]]*2+StudentData[[#This Row],[Class_Participation]]*2+StudentData[[#This Row],[Projects_Submitted]]*4</f>
        <v>67.180000000000007</v>
      </c>
      <c r="M112">
        <f>StudentData[[#This Row],[Academic_Score]]*60%+StudentData[[#This Row],[Engagement_Score]]*30%+MIN(StudentData[[#This Row],[Study_Hours_per_Week]],20)/20*100*10%</f>
        <v>86.874799999999993</v>
      </c>
      <c r="N112" s="3" t="str" cm="1">
        <f t="array" ref="N112">_xlfn.IFS(StudentData[[#This Row],[Success_Score]]&gt;=85,"Exceptional",StudentData[[#This Row],[Success_Score]]&gt;=70,"Strong",StudentData[[#This Row],[Success_Score]]&gt;=55,"Developing",TRUE,"Needs Improvement")</f>
        <v>Exceptional</v>
      </c>
      <c r="O112" s="3" t="str">
        <f t="shared" si="2"/>
        <v>Low Risk</v>
      </c>
      <c r="P112" s="3" t="str">
        <f t="shared" si="3"/>
        <v>24-25</v>
      </c>
    </row>
    <row r="113" spans="1:16">
      <c r="A113" t="s">
        <v>147</v>
      </c>
      <c r="B113">
        <v>24</v>
      </c>
      <c r="C113" t="s">
        <v>4</v>
      </c>
      <c r="D113">
        <v>82.54</v>
      </c>
      <c r="E113">
        <v>7</v>
      </c>
      <c r="F113">
        <v>8.31</v>
      </c>
      <c r="G113">
        <v>32.57</v>
      </c>
      <c r="H113">
        <v>5.05</v>
      </c>
      <c r="I113">
        <v>0</v>
      </c>
      <c r="J113">
        <v>0</v>
      </c>
      <c r="K113">
        <f>(StudentData[[#This Row],[Midterm_Grade]]*40%)+(StudentData[[#This Row],[Final_Grade]]*60%)</f>
        <v>16.058</v>
      </c>
      <c r="L113">
        <f>StudentData[[#This Row],[Attendance_Percentage]]*40%+StudentData[[#This Row],[Assignments_Completed]]*2+StudentData[[#This Row],[Class_Participation]]*2+StudentData[[#This Row],[Projects_Submitted]]*4</f>
        <v>63.63600000000001</v>
      </c>
      <c r="M113">
        <f>StudentData[[#This Row],[Academic_Score]]*60%+StudentData[[#This Row],[Engagement_Score]]*30%+MIN(StudentData[[#This Row],[Study_Hours_per_Week]],20)/20*100*10%</f>
        <v>28.7256</v>
      </c>
      <c r="N113" s="3" t="str" cm="1">
        <f t="array" ref="N11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13" s="3" t="str">
        <f t="shared" si="2"/>
        <v>Medium Risk</v>
      </c>
      <c r="P113" s="3" t="str">
        <f t="shared" si="3"/>
        <v>24-25</v>
      </c>
    </row>
    <row r="114" spans="1:16">
      <c r="A114" t="s">
        <v>148</v>
      </c>
      <c r="B114">
        <v>25</v>
      </c>
      <c r="C114" t="s">
        <v>4</v>
      </c>
      <c r="D114">
        <v>76.650000000000006</v>
      </c>
      <c r="E114">
        <v>5</v>
      </c>
      <c r="F114">
        <v>8.42</v>
      </c>
      <c r="G114">
        <v>39.409999999999997</v>
      </c>
      <c r="H114">
        <v>54.73</v>
      </c>
      <c r="I114">
        <v>7</v>
      </c>
      <c r="J114">
        <v>2</v>
      </c>
      <c r="K114">
        <f>(StudentData[[#This Row],[Midterm_Grade]]*40%)+(StudentData[[#This Row],[Final_Grade]]*60%)</f>
        <v>48.60199999999999</v>
      </c>
      <c r="L114">
        <f>StudentData[[#This Row],[Attendance_Percentage]]*40%+StudentData[[#This Row],[Assignments_Completed]]*2+StudentData[[#This Row],[Class_Participation]]*2+StudentData[[#This Row],[Projects_Submitted]]*4</f>
        <v>65.5</v>
      </c>
      <c r="M114">
        <f>StudentData[[#This Row],[Academic_Score]]*60%+StudentData[[#This Row],[Engagement_Score]]*30%+MIN(StudentData[[#This Row],[Study_Hours_per_Week]],20)/20*100*10%</f>
        <v>52.311199999999992</v>
      </c>
      <c r="N114" s="3" t="str" cm="1">
        <f t="array" ref="N11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14" s="3" t="str">
        <f t="shared" si="2"/>
        <v>Medium Risk</v>
      </c>
      <c r="P114" s="3" t="str">
        <f t="shared" si="3"/>
        <v>24-25</v>
      </c>
    </row>
    <row r="115" spans="1:16">
      <c r="A115" t="s">
        <v>149</v>
      </c>
      <c r="B115">
        <v>23</v>
      </c>
      <c r="C115" t="s">
        <v>5</v>
      </c>
      <c r="D115">
        <v>66.22</v>
      </c>
      <c r="E115">
        <v>3</v>
      </c>
      <c r="F115">
        <v>3.73</v>
      </c>
      <c r="G115">
        <v>60.33</v>
      </c>
      <c r="H115">
        <v>89.04</v>
      </c>
      <c r="I115">
        <v>4</v>
      </c>
      <c r="J115">
        <v>2</v>
      </c>
      <c r="K115">
        <f>(StudentData[[#This Row],[Midterm_Grade]]*40%)+(StudentData[[#This Row],[Final_Grade]]*60%)</f>
        <v>77.555999999999997</v>
      </c>
      <c r="L115">
        <f>StudentData[[#This Row],[Attendance_Percentage]]*40%+StudentData[[#This Row],[Assignments_Completed]]*2+StudentData[[#This Row],[Class_Participation]]*2+StudentData[[#This Row],[Projects_Submitted]]*4</f>
        <v>47.948</v>
      </c>
      <c r="M115">
        <f>StudentData[[#This Row],[Academic_Score]]*60%+StudentData[[#This Row],[Engagement_Score]]*30%+MIN(StudentData[[#This Row],[Study_Hours_per_Week]],20)/20*100*10%</f>
        <v>62.917999999999999</v>
      </c>
      <c r="N115" s="3" t="str" cm="1">
        <f t="array" ref="N115">_xlfn.IFS(StudentData[[#This Row],[Success_Score]]&gt;=85,"Exceptional",StudentData[[#This Row],[Success_Score]]&gt;=70,"Strong",StudentData[[#This Row],[Success_Score]]&gt;=55,"Developing",TRUE,"Needs Improvement")</f>
        <v>Developing</v>
      </c>
      <c r="O115" s="3" t="str">
        <f t="shared" si="2"/>
        <v>Medium Risk</v>
      </c>
      <c r="P115" s="3" t="str">
        <f t="shared" si="3"/>
        <v>21-23</v>
      </c>
    </row>
    <row r="116" spans="1:16">
      <c r="A116" t="s">
        <v>150</v>
      </c>
      <c r="B116">
        <v>24</v>
      </c>
      <c r="C116" t="s">
        <v>4</v>
      </c>
      <c r="D116">
        <v>66.650000000000006</v>
      </c>
      <c r="E116">
        <v>3</v>
      </c>
      <c r="F116">
        <v>6.32</v>
      </c>
      <c r="G116">
        <v>80.17</v>
      </c>
      <c r="H116">
        <v>26.27</v>
      </c>
      <c r="I116">
        <v>16</v>
      </c>
      <c r="J116">
        <v>0</v>
      </c>
      <c r="K116">
        <f>(StudentData[[#This Row],[Midterm_Grade]]*40%)+(StudentData[[#This Row],[Final_Grade]]*60%)</f>
        <v>47.830000000000005</v>
      </c>
      <c r="L116">
        <f>StudentData[[#This Row],[Attendance_Percentage]]*40%+StudentData[[#This Row],[Assignments_Completed]]*2+StudentData[[#This Row],[Class_Participation]]*2+StudentData[[#This Row],[Projects_Submitted]]*4</f>
        <v>45.300000000000004</v>
      </c>
      <c r="M116">
        <f>StudentData[[#This Row],[Academic_Score]]*60%+StudentData[[#This Row],[Engagement_Score]]*30%+MIN(StudentData[[#This Row],[Study_Hours_per_Week]],20)/20*100*10%</f>
        <v>50.288000000000004</v>
      </c>
      <c r="N116" s="3" t="str" cm="1">
        <f t="array" ref="N11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16" s="3" t="str">
        <f t="shared" si="2"/>
        <v>Medium Risk</v>
      </c>
      <c r="P116" s="3" t="str">
        <f t="shared" si="3"/>
        <v>24-25</v>
      </c>
    </row>
    <row r="117" spans="1:16">
      <c r="A117" t="s">
        <v>151</v>
      </c>
      <c r="B117">
        <v>21</v>
      </c>
      <c r="C117" t="s">
        <v>6</v>
      </c>
      <c r="D117">
        <v>83.47</v>
      </c>
      <c r="E117">
        <v>1</v>
      </c>
      <c r="F117">
        <v>0.95</v>
      </c>
      <c r="G117">
        <v>46.95</v>
      </c>
      <c r="H117">
        <v>47.22</v>
      </c>
      <c r="I117">
        <v>7</v>
      </c>
      <c r="J117">
        <v>5</v>
      </c>
      <c r="K117">
        <f>(StudentData[[#This Row],[Midterm_Grade]]*40%)+(StudentData[[#This Row],[Final_Grade]]*60%)</f>
        <v>47.111999999999995</v>
      </c>
      <c r="L117">
        <f>StudentData[[#This Row],[Attendance_Percentage]]*40%+StudentData[[#This Row],[Assignments_Completed]]*2+StudentData[[#This Row],[Class_Participation]]*2+StudentData[[#This Row],[Projects_Submitted]]*4</f>
        <v>57.287999999999997</v>
      </c>
      <c r="M117">
        <f>StudentData[[#This Row],[Academic_Score]]*60%+StudentData[[#This Row],[Engagement_Score]]*30%+MIN(StudentData[[#This Row],[Study_Hours_per_Week]],20)/20*100*10%</f>
        <v>48.953599999999994</v>
      </c>
      <c r="N117" s="3" t="str" cm="1">
        <f t="array" ref="N11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17" s="3" t="str">
        <f t="shared" si="2"/>
        <v>Medium Risk</v>
      </c>
      <c r="P117" s="3" t="str">
        <f t="shared" si="3"/>
        <v>21-23</v>
      </c>
    </row>
    <row r="118" spans="1:16">
      <c r="A118" t="s">
        <v>152</v>
      </c>
      <c r="B118">
        <v>18</v>
      </c>
      <c r="C118" t="s">
        <v>5</v>
      </c>
      <c r="D118">
        <v>99.71</v>
      </c>
      <c r="E118">
        <v>1</v>
      </c>
      <c r="F118">
        <v>1.04</v>
      </c>
      <c r="G118">
        <v>42.27</v>
      </c>
      <c r="H118">
        <v>32.43</v>
      </c>
      <c r="I118">
        <v>9</v>
      </c>
      <c r="J118">
        <v>5</v>
      </c>
      <c r="K118">
        <f>(StudentData[[#This Row],[Midterm_Grade]]*40%)+(StudentData[[#This Row],[Final_Grade]]*60%)</f>
        <v>36.366</v>
      </c>
      <c r="L118">
        <f>StudentData[[#This Row],[Attendance_Percentage]]*40%+StudentData[[#This Row],[Assignments_Completed]]*2+StudentData[[#This Row],[Class_Participation]]*2+StudentData[[#This Row],[Projects_Submitted]]*4</f>
        <v>63.963999999999999</v>
      </c>
      <c r="M118">
        <f>StudentData[[#This Row],[Academic_Score]]*60%+StudentData[[#This Row],[Engagement_Score]]*30%+MIN(StudentData[[#This Row],[Study_Hours_per_Week]],20)/20*100*10%</f>
        <v>45.508799999999994</v>
      </c>
      <c r="N118" s="3" t="str" cm="1">
        <f t="array" ref="N11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18" s="3" t="str">
        <f t="shared" si="2"/>
        <v>Medium Risk</v>
      </c>
      <c r="P118" s="3" t="str">
        <f t="shared" si="3"/>
        <v>18-20</v>
      </c>
    </row>
    <row r="119" spans="1:16">
      <c r="A119" t="s">
        <v>153</v>
      </c>
      <c r="B119">
        <v>23</v>
      </c>
      <c r="C119" t="s">
        <v>5</v>
      </c>
      <c r="D119">
        <v>83.09</v>
      </c>
      <c r="E119">
        <v>3</v>
      </c>
      <c r="F119">
        <v>0.49</v>
      </c>
      <c r="G119">
        <v>99.56</v>
      </c>
      <c r="H119">
        <v>95.21</v>
      </c>
      <c r="I119">
        <v>1</v>
      </c>
      <c r="J119">
        <v>1</v>
      </c>
      <c r="K119">
        <f>(StudentData[[#This Row],[Midterm_Grade]]*40%)+(StudentData[[#This Row],[Final_Grade]]*60%)</f>
        <v>96.95</v>
      </c>
      <c r="L119">
        <f>StudentData[[#This Row],[Attendance_Percentage]]*40%+StudentData[[#This Row],[Assignments_Completed]]*2+StudentData[[#This Row],[Class_Participation]]*2+StudentData[[#This Row],[Projects_Submitted]]*4</f>
        <v>44.216000000000001</v>
      </c>
      <c r="M119">
        <f>StudentData[[#This Row],[Academic_Score]]*60%+StudentData[[#This Row],[Engagement_Score]]*30%+MIN(StudentData[[#This Row],[Study_Hours_per_Week]],20)/20*100*10%</f>
        <v>71.934799999999996</v>
      </c>
      <c r="N119" s="3" t="str" cm="1">
        <f t="array" ref="N119">_xlfn.IFS(StudentData[[#This Row],[Success_Score]]&gt;=85,"Exceptional",StudentData[[#This Row],[Success_Score]]&gt;=70,"Strong",StudentData[[#This Row],[Success_Score]]&gt;=55,"Developing",TRUE,"Needs Improvement")</f>
        <v>Strong</v>
      </c>
      <c r="O119" s="3" t="str">
        <f t="shared" si="2"/>
        <v>Low Risk</v>
      </c>
      <c r="P119" s="3" t="str">
        <f t="shared" si="3"/>
        <v>21-23</v>
      </c>
    </row>
    <row r="120" spans="1:16">
      <c r="A120" t="s">
        <v>154</v>
      </c>
      <c r="B120">
        <v>25</v>
      </c>
      <c r="C120" t="s">
        <v>4</v>
      </c>
      <c r="D120">
        <v>77.89</v>
      </c>
      <c r="E120">
        <v>4</v>
      </c>
      <c r="F120">
        <v>5.81</v>
      </c>
      <c r="G120">
        <v>1.05</v>
      </c>
      <c r="H120">
        <v>82.36</v>
      </c>
      <c r="I120">
        <v>8</v>
      </c>
      <c r="J120">
        <v>0</v>
      </c>
      <c r="K120">
        <f>(StudentData[[#This Row],[Midterm_Grade]]*40%)+(StudentData[[#This Row],[Final_Grade]]*60%)</f>
        <v>49.835999999999999</v>
      </c>
      <c r="L120">
        <f>StudentData[[#This Row],[Attendance_Percentage]]*40%+StudentData[[#This Row],[Assignments_Completed]]*2+StudentData[[#This Row],[Class_Participation]]*2+StudentData[[#This Row],[Projects_Submitted]]*4</f>
        <v>50.776000000000003</v>
      </c>
      <c r="M120">
        <f>StudentData[[#This Row],[Academic_Score]]*60%+StudentData[[#This Row],[Engagement_Score]]*30%+MIN(StudentData[[#This Row],[Study_Hours_per_Week]],20)/20*100*10%</f>
        <v>49.134399999999999</v>
      </c>
      <c r="N120" s="3" t="str" cm="1">
        <f t="array" ref="N12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20" s="3" t="str">
        <f t="shared" si="2"/>
        <v>Medium Risk</v>
      </c>
      <c r="P120" s="3" t="str">
        <f t="shared" si="3"/>
        <v>24-25</v>
      </c>
    </row>
    <row r="121" spans="1:16">
      <c r="A121" t="s">
        <v>155</v>
      </c>
      <c r="B121">
        <v>22</v>
      </c>
      <c r="C121" t="s">
        <v>4</v>
      </c>
      <c r="D121">
        <v>86.53</v>
      </c>
      <c r="E121">
        <v>7</v>
      </c>
      <c r="F121">
        <v>4.26</v>
      </c>
      <c r="G121">
        <v>89.51</v>
      </c>
      <c r="H121">
        <v>70.900000000000006</v>
      </c>
      <c r="I121">
        <v>2</v>
      </c>
      <c r="J121">
        <v>1</v>
      </c>
      <c r="K121">
        <f>(StudentData[[#This Row],[Midterm_Grade]]*40%)+(StudentData[[#This Row],[Final_Grade]]*60%)</f>
        <v>78.343999999999994</v>
      </c>
      <c r="L121">
        <f>StudentData[[#This Row],[Attendance_Percentage]]*40%+StudentData[[#This Row],[Assignments_Completed]]*2+StudentData[[#This Row],[Class_Participation]]*2+StudentData[[#This Row],[Projects_Submitted]]*4</f>
        <v>61.132000000000005</v>
      </c>
      <c r="M121">
        <f>StudentData[[#This Row],[Academic_Score]]*60%+StudentData[[#This Row],[Engagement_Score]]*30%+MIN(StudentData[[#This Row],[Study_Hours_per_Week]],20)/20*100*10%</f>
        <v>66.345999999999989</v>
      </c>
      <c r="N121" s="3" t="str" cm="1">
        <f t="array" ref="N121">_xlfn.IFS(StudentData[[#This Row],[Success_Score]]&gt;=85,"Exceptional",StudentData[[#This Row],[Success_Score]]&gt;=70,"Strong",StudentData[[#This Row],[Success_Score]]&gt;=55,"Developing",TRUE,"Needs Improvement")</f>
        <v>Developing</v>
      </c>
      <c r="O121" s="3" t="str">
        <f t="shared" si="2"/>
        <v>Low Risk</v>
      </c>
      <c r="P121" s="3" t="str">
        <f t="shared" si="3"/>
        <v>21-23</v>
      </c>
    </row>
    <row r="122" spans="1:16">
      <c r="A122" t="s">
        <v>156</v>
      </c>
      <c r="B122">
        <v>25</v>
      </c>
      <c r="C122" t="s">
        <v>5</v>
      </c>
      <c r="D122">
        <v>73.260000000000005</v>
      </c>
      <c r="E122">
        <v>5</v>
      </c>
      <c r="F122">
        <v>5.48</v>
      </c>
      <c r="G122">
        <v>14.91</v>
      </c>
      <c r="H122">
        <v>58.76</v>
      </c>
      <c r="I122">
        <v>17</v>
      </c>
      <c r="J122">
        <v>5</v>
      </c>
      <c r="K122">
        <f>(StudentData[[#This Row],[Midterm_Grade]]*40%)+(StudentData[[#This Row],[Final_Grade]]*60%)</f>
        <v>41.22</v>
      </c>
      <c r="L122">
        <f>StudentData[[#This Row],[Attendance_Percentage]]*40%+StudentData[[#This Row],[Assignments_Completed]]*2+StudentData[[#This Row],[Class_Participation]]*2+StudentData[[#This Row],[Projects_Submitted]]*4</f>
        <v>70.26400000000001</v>
      </c>
      <c r="M122">
        <f>StudentData[[#This Row],[Academic_Score]]*60%+StudentData[[#This Row],[Engagement_Score]]*30%+MIN(StudentData[[#This Row],[Study_Hours_per_Week]],20)/20*100*10%</f>
        <v>54.311199999999999</v>
      </c>
      <c r="N122" s="3" t="str" cm="1">
        <f t="array" ref="N12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22" s="3" t="str">
        <f t="shared" si="2"/>
        <v>Medium Risk</v>
      </c>
      <c r="P122" s="3" t="str">
        <f t="shared" si="3"/>
        <v>24-25</v>
      </c>
    </row>
    <row r="123" spans="1:16">
      <c r="A123" t="s">
        <v>157</v>
      </c>
      <c r="B123">
        <v>22</v>
      </c>
      <c r="C123" t="s">
        <v>5</v>
      </c>
      <c r="D123">
        <v>53.01</v>
      </c>
      <c r="E123">
        <v>3</v>
      </c>
      <c r="F123">
        <v>5.21</v>
      </c>
      <c r="G123">
        <v>78.59</v>
      </c>
      <c r="H123">
        <v>82.06</v>
      </c>
      <c r="I123">
        <v>6</v>
      </c>
      <c r="J123">
        <v>5</v>
      </c>
      <c r="K123">
        <f>(StudentData[[#This Row],[Midterm_Grade]]*40%)+(StudentData[[#This Row],[Final_Grade]]*60%)</f>
        <v>80.671999999999997</v>
      </c>
      <c r="L123">
        <f>StudentData[[#This Row],[Attendance_Percentage]]*40%+StudentData[[#This Row],[Assignments_Completed]]*2+StudentData[[#This Row],[Class_Participation]]*2+StudentData[[#This Row],[Projects_Submitted]]*4</f>
        <v>57.624000000000002</v>
      </c>
      <c r="M123">
        <f>StudentData[[#This Row],[Academic_Score]]*60%+StudentData[[#This Row],[Engagement_Score]]*30%+MIN(StudentData[[#This Row],[Study_Hours_per_Week]],20)/20*100*10%</f>
        <v>68.690399999999997</v>
      </c>
      <c r="N123" s="3" t="str" cm="1">
        <f t="array" ref="N123">_xlfn.IFS(StudentData[[#This Row],[Success_Score]]&gt;=85,"Exceptional",StudentData[[#This Row],[Success_Score]]&gt;=70,"Strong",StudentData[[#This Row],[Success_Score]]&gt;=55,"Developing",TRUE,"Needs Improvement")</f>
        <v>Developing</v>
      </c>
      <c r="O123" s="3" t="str">
        <f t="shared" si="2"/>
        <v>Medium Risk</v>
      </c>
      <c r="P123" s="3" t="str">
        <f t="shared" si="3"/>
        <v>21-23</v>
      </c>
    </row>
    <row r="124" spans="1:16">
      <c r="A124" t="s">
        <v>158</v>
      </c>
      <c r="B124">
        <v>19</v>
      </c>
      <c r="C124" t="s">
        <v>5</v>
      </c>
      <c r="D124">
        <v>78.11</v>
      </c>
      <c r="E124">
        <v>10</v>
      </c>
      <c r="F124">
        <v>3.5</v>
      </c>
      <c r="G124">
        <v>61.79</v>
      </c>
      <c r="H124">
        <v>39.229999999999997</v>
      </c>
      <c r="I124">
        <v>14</v>
      </c>
      <c r="J124">
        <v>0</v>
      </c>
      <c r="K124">
        <f>(StudentData[[#This Row],[Midterm_Grade]]*40%)+(StudentData[[#This Row],[Final_Grade]]*60%)</f>
        <v>48.253999999999998</v>
      </c>
      <c r="L124">
        <f>StudentData[[#This Row],[Attendance_Percentage]]*40%+StudentData[[#This Row],[Assignments_Completed]]*2+StudentData[[#This Row],[Class_Participation]]*2+StudentData[[#This Row],[Projects_Submitted]]*4</f>
        <v>58.244</v>
      </c>
      <c r="M124">
        <f>StudentData[[#This Row],[Academic_Score]]*60%+StudentData[[#This Row],[Engagement_Score]]*30%+MIN(StudentData[[#This Row],[Study_Hours_per_Week]],20)/20*100*10%</f>
        <v>53.425599999999996</v>
      </c>
      <c r="N124" s="3" t="str" cm="1">
        <f t="array" ref="N12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24" s="3" t="str">
        <f t="shared" si="2"/>
        <v>Medium Risk</v>
      </c>
      <c r="P124" s="3" t="str">
        <f t="shared" si="3"/>
        <v>18-20</v>
      </c>
    </row>
    <row r="125" spans="1:16">
      <c r="A125" t="s">
        <v>159</v>
      </c>
      <c r="B125">
        <v>24</v>
      </c>
      <c r="C125" t="s">
        <v>4</v>
      </c>
      <c r="D125">
        <v>97.88</v>
      </c>
      <c r="E125">
        <v>6</v>
      </c>
      <c r="F125">
        <v>6.77</v>
      </c>
      <c r="G125">
        <v>34.18</v>
      </c>
      <c r="H125">
        <v>44.76</v>
      </c>
      <c r="I125">
        <v>19</v>
      </c>
      <c r="J125">
        <v>1</v>
      </c>
      <c r="K125">
        <f>(StudentData[[#This Row],[Midterm_Grade]]*40%)+(StudentData[[#This Row],[Final_Grade]]*60%)</f>
        <v>40.527999999999999</v>
      </c>
      <c r="L125">
        <f>StudentData[[#This Row],[Attendance_Percentage]]*40%+StudentData[[#This Row],[Assignments_Completed]]*2+StudentData[[#This Row],[Class_Participation]]*2+StudentData[[#This Row],[Projects_Submitted]]*4</f>
        <v>68.692000000000007</v>
      </c>
      <c r="M125">
        <f>StudentData[[#This Row],[Academic_Score]]*60%+StudentData[[#This Row],[Engagement_Score]]*30%+MIN(StudentData[[#This Row],[Study_Hours_per_Week]],20)/20*100*10%</f>
        <v>54.424399999999999</v>
      </c>
      <c r="N125" s="3" t="str" cm="1">
        <f t="array" ref="N12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25" s="3" t="str">
        <f t="shared" si="2"/>
        <v>Medium Risk</v>
      </c>
      <c r="P125" s="3" t="str">
        <f t="shared" si="3"/>
        <v>24-25</v>
      </c>
    </row>
    <row r="126" spans="1:16">
      <c r="A126" t="s">
        <v>160</v>
      </c>
      <c r="B126">
        <v>22</v>
      </c>
      <c r="C126" t="s">
        <v>4</v>
      </c>
      <c r="D126">
        <v>58.77</v>
      </c>
      <c r="E126">
        <v>7</v>
      </c>
      <c r="F126">
        <v>7.59</v>
      </c>
      <c r="G126">
        <v>87.39</v>
      </c>
      <c r="H126">
        <v>73</v>
      </c>
      <c r="I126">
        <v>17</v>
      </c>
      <c r="J126">
        <v>1</v>
      </c>
      <c r="K126">
        <f>(StudentData[[#This Row],[Midterm_Grade]]*40%)+(StudentData[[#This Row],[Final_Grade]]*60%)</f>
        <v>78.756</v>
      </c>
      <c r="L126">
        <f>StudentData[[#This Row],[Attendance_Percentage]]*40%+StudentData[[#This Row],[Assignments_Completed]]*2+StudentData[[#This Row],[Class_Participation]]*2+StudentData[[#This Row],[Projects_Submitted]]*4</f>
        <v>56.688000000000002</v>
      </c>
      <c r="M126">
        <f>StudentData[[#This Row],[Academic_Score]]*60%+StudentData[[#This Row],[Engagement_Score]]*30%+MIN(StudentData[[#This Row],[Study_Hours_per_Week]],20)/20*100*10%</f>
        <v>72.759999999999991</v>
      </c>
      <c r="N126" s="3" t="str" cm="1">
        <f t="array" ref="N126">_xlfn.IFS(StudentData[[#This Row],[Success_Score]]&gt;=85,"Exceptional",StudentData[[#This Row],[Success_Score]]&gt;=70,"Strong",StudentData[[#This Row],[Success_Score]]&gt;=55,"Developing",TRUE,"Needs Improvement")</f>
        <v>Strong</v>
      </c>
      <c r="O126" s="3" t="str">
        <f t="shared" si="2"/>
        <v>Medium Risk</v>
      </c>
      <c r="P126" s="3" t="str">
        <f t="shared" si="3"/>
        <v>21-23</v>
      </c>
    </row>
    <row r="127" spans="1:16">
      <c r="A127" t="s">
        <v>161</v>
      </c>
      <c r="B127">
        <v>25</v>
      </c>
      <c r="C127" t="s">
        <v>5</v>
      </c>
      <c r="D127">
        <v>84.5</v>
      </c>
      <c r="E127">
        <v>1</v>
      </c>
      <c r="F127">
        <v>0.15</v>
      </c>
      <c r="G127">
        <v>1.29</v>
      </c>
      <c r="H127">
        <v>35.78</v>
      </c>
      <c r="I127">
        <v>2</v>
      </c>
      <c r="J127">
        <v>0</v>
      </c>
      <c r="K127">
        <f>(StudentData[[#This Row],[Midterm_Grade]]*40%)+(StudentData[[#This Row],[Final_Grade]]*60%)</f>
        <v>21.984000000000002</v>
      </c>
      <c r="L127">
        <f>StudentData[[#This Row],[Attendance_Percentage]]*40%+StudentData[[#This Row],[Assignments_Completed]]*2+StudentData[[#This Row],[Class_Participation]]*2+StudentData[[#This Row],[Projects_Submitted]]*4</f>
        <v>36.1</v>
      </c>
      <c r="M127">
        <f>StudentData[[#This Row],[Academic_Score]]*60%+StudentData[[#This Row],[Engagement_Score]]*30%+MIN(StudentData[[#This Row],[Study_Hours_per_Week]],20)/20*100*10%</f>
        <v>25.020400000000002</v>
      </c>
      <c r="N127" s="3" t="str" cm="1">
        <f t="array" ref="N12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27" s="3" t="str">
        <f t="shared" si="2"/>
        <v>Medium Risk</v>
      </c>
      <c r="P127" s="3" t="str">
        <f t="shared" si="3"/>
        <v>24-25</v>
      </c>
    </row>
    <row r="128" spans="1:16">
      <c r="A128" t="s">
        <v>162</v>
      </c>
      <c r="B128">
        <v>19</v>
      </c>
      <c r="C128" t="s">
        <v>4</v>
      </c>
      <c r="D128">
        <v>60.05</v>
      </c>
      <c r="E128">
        <v>6</v>
      </c>
      <c r="F128">
        <v>2.0699999999999998</v>
      </c>
      <c r="G128">
        <v>22.67</v>
      </c>
      <c r="H128">
        <v>6.39</v>
      </c>
      <c r="I128">
        <v>13</v>
      </c>
      <c r="J128">
        <v>1</v>
      </c>
      <c r="K128">
        <f>(StudentData[[#This Row],[Midterm_Grade]]*40%)+(StudentData[[#This Row],[Final_Grade]]*60%)</f>
        <v>12.902000000000001</v>
      </c>
      <c r="L128">
        <f>StudentData[[#This Row],[Attendance_Percentage]]*40%+StudentData[[#This Row],[Assignments_Completed]]*2+StudentData[[#This Row],[Class_Participation]]*2+StudentData[[#This Row],[Projects_Submitted]]*4</f>
        <v>44.16</v>
      </c>
      <c r="M128">
        <f>StudentData[[#This Row],[Academic_Score]]*60%+StudentData[[#This Row],[Engagement_Score]]*30%+MIN(StudentData[[#This Row],[Study_Hours_per_Week]],20)/20*100*10%</f>
        <v>27.4892</v>
      </c>
      <c r="N128" s="3" t="str" cm="1">
        <f t="array" ref="N12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28" s="3" t="str">
        <f t="shared" si="2"/>
        <v>Medium Risk</v>
      </c>
      <c r="P128" s="3" t="str">
        <f t="shared" si="3"/>
        <v>18-20</v>
      </c>
    </row>
    <row r="129" spans="1:16">
      <c r="A129" t="s">
        <v>163</v>
      </c>
      <c r="B129">
        <v>18</v>
      </c>
      <c r="C129" t="s">
        <v>4</v>
      </c>
      <c r="D129">
        <v>76.790000000000006</v>
      </c>
      <c r="E129">
        <v>1</v>
      </c>
      <c r="F129">
        <v>7.13</v>
      </c>
      <c r="G129">
        <v>56.69</v>
      </c>
      <c r="H129">
        <v>7.43</v>
      </c>
      <c r="I129">
        <v>1</v>
      </c>
      <c r="J129">
        <v>3</v>
      </c>
      <c r="K129">
        <f>(StudentData[[#This Row],[Midterm_Grade]]*40%)+(StudentData[[#This Row],[Final_Grade]]*60%)</f>
        <v>27.134</v>
      </c>
      <c r="L129">
        <f>StudentData[[#This Row],[Attendance_Percentage]]*40%+StudentData[[#This Row],[Assignments_Completed]]*2+StudentData[[#This Row],[Class_Participation]]*2+StudentData[[#This Row],[Projects_Submitted]]*4</f>
        <v>58.976000000000006</v>
      </c>
      <c r="M129">
        <f>StudentData[[#This Row],[Academic_Score]]*60%+StudentData[[#This Row],[Engagement_Score]]*30%+MIN(StudentData[[#This Row],[Study_Hours_per_Week]],20)/20*100*10%</f>
        <v>34.473200000000006</v>
      </c>
      <c r="N129" s="3" t="str" cm="1">
        <f t="array" ref="N12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29" s="3" t="str">
        <f t="shared" si="2"/>
        <v>Medium Risk</v>
      </c>
      <c r="P129" s="3" t="str">
        <f t="shared" si="3"/>
        <v>18-20</v>
      </c>
    </row>
    <row r="130" spans="1:16">
      <c r="A130" t="s">
        <v>164</v>
      </c>
      <c r="B130">
        <v>21</v>
      </c>
      <c r="C130" t="s">
        <v>5</v>
      </c>
      <c r="D130">
        <v>54.83</v>
      </c>
      <c r="E130">
        <v>1</v>
      </c>
      <c r="F130">
        <v>3.87</v>
      </c>
      <c r="G130">
        <v>35.15</v>
      </c>
      <c r="H130">
        <v>11.54</v>
      </c>
      <c r="I130">
        <v>13</v>
      </c>
      <c r="J130">
        <v>5</v>
      </c>
      <c r="K130">
        <f>(StudentData[[#This Row],[Midterm_Grade]]*40%)+(StudentData[[#This Row],[Final_Grade]]*60%)</f>
        <v>20.984000000000002</v>
      </c>
      <c r="L130">
        <f>StudentData[[#This Row],[Attendance_Percentage]]*40%+StudentData[[#This Row],[Assignments_Completed]]*2+StudentData[[#This Row],[Class_Participation]]*2+StudentData[[#This Row],[Projects_Submitted]]*4</f>
        <v>51.672000000000004</v>
      </c>
      <c r="M130">
        <f>StudentData[[#This Row],[Academic_Score]]*60%+StudentData[[#This Row],[Engagement_Score]]*30%+MIN(StudentData[[#This Row],[Study_Hours_per_Week]],20)/20*100*10%</f>
        <v>34.591999999999999</v>
      </c>
      <c r="N130" s="3" t="str" cm="1">
        <f t="array" ref="N13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30" s="3" t="str">
        <f t="shared" ref="O130:O193" si="4">IF(AND(D130&lt;60,K130&lt;50),"High Risk",IF(OR(D130&lt;70,K130&lt;60),"Medium Risk","Low Risk"))</f>
        <v>High Risk</v>
      </c>
      <c r="P130" s="3" t="str">
        <f t="shared" ref="P130:P193" si="5">IF(B130&lt;=20,"18-20",IF(B130&lt;=23,"21-23","24-25"))</f>
        <v>21-23</v>
      </c>
    </row>
    <row r="131" spans="1:16">
      <c r="A131" t="s">
        <v>165</v>
      </c>
      <c r="B131">
        <v>21</v>
      </c>
      <c r="C131" t="s">
        <v>5</v>
      </c>
      <c r="D131">
        <v>72.52</v>
      </c>
      <c r="E131">
        <v>7</v>
      </c>
      <c r="F131">
        <v>6.62</v>
      </c>
      <c r="G131">
        <v>61.04</v>
      </c>
      <c r="H131">
        <v>86.97</v>
      </c>
      <c r="I131">
        <v>10</v>
      </c>
      <c r="J131">
        <v>4</v>
      </c>
      <c r="K131">
        <f>(StudentData[[#This Row],[Midterm_Grade]]*40%)+(StudentData[[#This Row],[Final_Grade]]*60%)</f>
        <v>76.597999999999999</v>
      </c>
      <c r="L131">
        <f>StudentData[[#This Row],[Attendance_Percentage]]*40%+StudentData[[#This Row],[Assignments_Completed]]*2+StudentData[[#This Row],[Class_Participation]]*2+StudentData[[#This Row],[Projects_Submitted]]*4</f>
        <v>72.24799999999999</v>
      </c>
      <c r="M131">
        <f>StudentData[[#This Row],[Academic_Score]]*60%+StudentData[[#This Row],[Engagement_Score]]*30%+MIN(StudentData[[#This Row],[Study_Hours_per_Week]],20)/20*100*10%</f>
        <v>72.633199999999988</v>
      </c>
      <c r="N131" s="3" t="str" cm="1">
        <f t="array" ref="N131">_xlfn.IFS(StudentData[[#This Row],[Success_Score]]&gt;=85,"Exceptional",StudentData[[#This Row],[Success_Score]]&gt;=70,"Strong",StudentData[[#This Row],[Success_Score]]&gt;=55,"Developing",TRUE,"Needs Improvement")</f>
        <v>Strong</v>
      </c>
      <c r="O131" s="3" t="str">
        <f t="shared" si="4"/>
        <v>Low Risk</v>
      </c>
      <c r="P131" s="3" t="str">
        <f t="shared" si="5"/>
        <v>21-23</v>
      </c>
    </row>
    <row r="132" spans="1:16">
      <c r="A132" t="s">
        <v>166</v>
      </c>
      <c r="B132">
        <v>21</v>
      </c>
      <c r="C132" t="s">
        <v>4</v>
      </c>
      <c r="D132">
        <v>87.81</v>
      </c>
      <c r="E132">
        <v>1</v>
      </c>
      <c r="F132">
        <v>3.47</v>
      </c>
      <c r="G132">
        <v>2.41</v>
      </c>
      <c r="H132">
        <v>47.22</v>
      </c>
      <c r="I132">
        <v>15</v>
      </c>
      <c r="J132">
        <v>2</v>
      </c>
      <c r="K132">
        <f>(StudentData[[#This Row],[Midterm_Grade]]*40%)+(StudentData[[#This Row],[Final_Grade]]*60%)</f>
        <v>29.295999999999996</v>
      </c>
      <c r="L132">
        <f>StudentData[[#This Row],[Attendance_Percentage]]*40%+StudentData[[#This Row],[Assignments_Completed]]*2+StudentData[[#This Row],[Class_Participation]]*2+StudentData[[#This Row],[Projects_Submitted]]*4</f>
        <v>52.064</v>
      </c>
      <c r="M132">
        <f>StudentData[[#This Row],[Academic_Score]]*60%+StudentData[[#This Row],[Engagement_Score]]*30%+MIN(StudentData[[#This Row],[Study_Hours_per_Week]],20)/20*100*10%</f>
        <v>40.696799999999996</v>
      </c>
      <c r="N132" s="3" t="str" cm="1">
        <f t="array" ref="N13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32" s="3" t="str">
        <f t="shared" si="4"/>
        <v>Medium Risk</v>
      </c>
      <c r="P132" s="3" t="str">
        <f t="shared" si="5"/>
        <v>21-23</v>
      </c>
    </row>
    <row r="133" spans="1:16">
      <c r="A133" t="s">
        <v>167</v>
      </c>
      <c r="B133">
        <v>22</v>
      </c>
      <c r="C133" t="s">
        <v>4</v>
      </c>
      <c r="D133">
        <v>67.38</v>
      </c>
      <c r="E133">
        <v>10</v>
      </c>
      <c r="F133">
        <v>3.91</v>
      </c>
      <c r="G133">
        <v>11.65</v>
      </c>
      <c r="H133">
        <v>71.290000000000006</v>
      </c>
      <c r="I133">
        <v>7</v>
      </c>
      <c r="J133">
        <v>1</v>
      </c>
      <c r="K133">
        <f>(StudentData[[#This Row],[Midterm_Grade]]*40%)+(StudentData[[#This Row],[Final_Grade]]*60%)</f>
        <v>47.433999999999997</v>
      </c>
      <c r="L133">
        <f>StudentData[[#This Row],[Attendance_Percentage]]*40%+StudentData[[#This Row],[Assignments_Completed]]*2+StudentData[[#This Row],[Class_Participation]]*2+StudentData[[#This Row],[Projects_Submitted]]*4</f>
        <v>58.771999999999998</v>
      </c>
      <c r="M133">
        <f>StudentData[[#This Row],[Academic_Score]]*60%+StudentData[[#This Row],[Engagement_Score]]*30%+MIN(StudentData[[#This Row],[Study_Hours_per_Week]],20)/20*100*10%</f>
        <v>49.591999999999999</v>
      </c>
      <c r="N133" s="3" t="str" cm="1">
        <f t="array" ref="N13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33" s="3" t="str">
        <f t="shared" si="4"/>
        <v>Medium Risk</v>
      </c>
      <c r="P133" s="3" t="str">
        <f t="shared" si="5"/>
        <v>21-23</v>
      </c>
    </row>
    <row r="134" spans="1:16">
      <c r="A134" t="s">
        <v>168</v>
      </c>
      <c r="B134">
        <v>18</v>
      </c>
      <c r="C134" t="s">
        <v>4</v>
      </c>
      <c r="D134">
        <v>83.25</v>
      </c>
      <c r="E134">
        <v>8</v>
      </c>
      <c r="F134">
        <v>1.59</v>
      </c>
      <c r="G134">
        <v>12.71</v>
      </c>
      <c r="H134">
        <v>39.29</v>
      </c>
      <c r="I134">
        <v>6</v>
      </c>
      <c r="J134">
        <v>1</v>
      </c>
      <c r="K134">
        <f>(StudentData[[#This Row],[Midterm_Grade]]*40%)+(StudentData[[#This Row],[Final_Grade]]*60%)</f>
        <v>28.657999999999998</v>
      </c>
      <c r="L134">
        <f>StudentData[[#This Row],[Attendance_Percentage]]*40%+StudentData[[#This Row],[Assignments_Completed]]*2+StudentData[[#This Row],[Class_Participation]]*2+StudentData[[#This Row],[Projects_Submitted]]*4</f>
        <v>56.480000000000004</v>
      </c>
      <c r="M134">
        <f>StudentData[[#This Row],[Academic_Score]]*60%+StudentData[[#This Row],[Engagement_Score]]*30%+MIN(StudentData[[#This Row],[Study_Hours_per_Week]],20)/20*100*10%</f>
        <v>37.138799999999996</v>
      </c>
      <c r="N134" s="3" t="str" cm="1">
        <f t="array" ref="N13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34" s="3" t="str">
        <f t="shared" si="4"/>
        <v>Medium Risk</v>
      </c>
      <c r="P134" s="3" t="str">
        <f t="shared" si="5"/>
        <v>18-20</v>
      </c>
    </row>
    <row r="135" spans="1:16">
      <c r="A135" t="s">
        <v>169</v>
      </c>
      <c r="B135">
        <v>22</v>
      </c>
      <c r="C135" t="s">
        <v>4</v>
      </c>
      <c r="D135">
        <v>89.77</v>
      </c>
      <c r="E135">
        <v>0</v>
      </c>
      <c r="F135">
        <v>2.58</v>
      </c>
      <c r="G135">
        <v>18.93</v>
      </c>
      <c r="H135">
        <v>25.87</v>
      </c>
      <c r="I135">
        <v>10</v>
      </c>
      <c r="J135">
        <v>2</v>
      </c>
      <c r="K135">
        <f>(StudentData[[#This Row],[Midterm_Grade]]*40%)+(StudentData[[#This Row],[Final_Grade]]*60%)</f>
        <v>23.094000000000001</v>
      </c>
      <c r="L135">
        <f>StudentData[[#This Row],[Attendance_Percentage]]*40%+StudentData[[#This Row],[Assignments_Completed]]*2+StudentData[[#This Row],[Class_Participation]]*2+StudentData[[#This Row],[Projects_Submitted]]*4</f>
        <v>49.067999999999998</v>
      </c>
      <c r="M135">
        <f>StudentData[[#This Row],[Academic_Score]]*60%+StudentData[[#This Row],[Engagement_Score]]*30%+MIN(StudentData[[#This Row],[Study_Hours_per_Week]],20)/20*100*10%</f>
        <v>33.576799999999999</v>
      </c>
      <c r="N135" s="3" t="str" cm="1">
        <f t="array" ref="N13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35" s="3" t="str">
        <f t="shared" si="4"/>
        <v>Medium Risk</v>
      </c>
      <c r="P135" s="3" t="str">
        <f t="shared" si="5"/>
        <v>21-23</v>
      </c>
    </row>
    <row r="136" spans="1:16">
      <c r="A136" t="s">
        <v>170</v>
      </c>
      <c r="B136">
        <v>24</v>
      </c>
      <c r="C136" t="s">
        <v>5</v>
      </c>
      <c r="D136">
        <v>96.36</v>
      </c>
      <c r="E136">
        <v>8</v>
      </c>
      <c r="F136">
        <v>6.05</v>
      </c>
      <c r="G136">
        <v>45.93</v>
      </c>
      <c r="H136">
        <v>34.72</v>
      </c>
      <c r="I136">
        <v>2</v>
      </c>
      <c r="J136">
        <v>1</v>
      </c>
      <c r="K136">
        <f>(StudentData[[#This Row],[Midterm_Grade]]*40%)+(StudentData[[#This Row],[Final_Grade]]*60%)</f>
        <v>39.203999999999994</v>
      </c>
      <c r="L136">
        <f>StudentData[[#This Row],[Attendance_Percentage]]*40%+StudentData[[#This Row],[Assignments_Completed]]*2+StudentData[[#This Row],[Class_Participation]]*2+StudentData[[#This Row],[Projects_Submitted]]*4</f>
        <v>70.644000000000005</v>
      </c>
      <c r="M136">
        <f>StudentData[[#This Row],[Academic_Score]]*60%+StudentData[[#This Row],[Engagement_Score]]*30%+MIN(StudentData[[#This Row],[Study_Hours_per_Week]],20)/20*100*10%</f>
        <v>45.715599999999995</v>
      </c>
      <c r="N136" s="3" t="str" cm="1">
        <f t="array" ref="N13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36" s="3" t="str">
        <f t="shared" si="4"/>
        <v>Medium Risk</v>
      </c>
      <c r="P136" s="3" t="str">
        <f t="shared" si="5"/>
        <v>24-25</v>
      </c>
    </row>
    <row r="137" spans="1:16">
      <c r="A137" t="s">
        <v>171</v>
      </c>
      <c r="B137">
        <v>22</v>
      </c>
      <c r="C137" t="s">
        <v>5</v>
      </c>
      <c r="D137">
        <v>61.73</v>
      </c>
      <c r="E137">
        <v>0</v>
      </c>
      <c r="F137">
        <v>4.33</v>
      </c>
      <c r="G137">
        <v>75.209999999999994</v>
      </c>
      <c r="H137">
        <v>79.42</v>
      </c>
      <c r="I137">
        <v>16</v>
      </c>
      <c r="J137">
        <v>2</v>
      </c>
      <c r="K137">
        <f>(StudentData[[#This Row],[Midterm_Grade]]*40%)+(StudentData[[#This Row],[Final_Grade]]*60%)</f>
        <v>77.736000000000004</v>
      </c>
      <c r="L137">
        <f>StudentData[[#This Row],[Attendance_Percentage]]*40%+StudentData[[#This Row],[Assignments_Completed]]*2+StudentData[[#This Row],[Class_Participation]]*2+StudentData[[#This Row],[Projects_Submitted]]*4</f>
        <v>41.352000000000004</v>
      </c>
      <c r="M137">
        <f>StudentData[[#This Row],[Academic_Score]]*60%+StudentData[[#This Row],[Engagement_Score]]*30%+MIN(StudentData[[#This Row],[Study_Hours_per_Week]],20)/20*100*10%</f>
        <v>67.047200000000004</v>
      </c>
      <c r="N137" s="3" t="str" cm="1">
        <f t="array" ref="N137">_xlfn.IFS(StudentData[[#This Row],[Success_Score]]&gt;=85,"Exceptional",StudentData[[#This Row],[Success_Score]]&gt;=70,"Strong",StudentData[[#This Row],[Success_Score]]&gt;=55,"Developing",TRUE,"Needs Improvement")</f>
        <v>Developing</v>
      </c>
      <c r="O137" s="3" t="str">
        <f t="shared" si="4"/>
        <v>Medium Risk</v>
      </c>
      <c r="P137" s="3" t="str">
        <f t="shared" si="5"/>
        <v>21-23</v>
      </c>
    </row>
    <row r="138" spans="1:16">
      <c r="A138" t="s">
        <v>172</v>
      </c>
      <c r="B138">
        <v>18</v>
      </c>
      <c r="C138" t="s">
        <v>4</v>
      </c>
      <c r="D138">
        <v>69.97</v>
      </c>
      <c r="E138">
        <v>9</v>
      </c>
      <c r="F138">
        <v>7.74</v>
      </c>
      <c r="G138">
        <v>90.55</v>
      </c>
      <c r="H138">
        <v>62.52</v>
      </c>
      <c r="I138">
        <v>13</v>
      </c>
      <c r="J138">
        <v>0</v>
      </c>
      <c r="K138">
        <f>(StudentData[[#This Row],[Midterm_Grade]]*40%)+(StudentData[[#This Row],[Final_Grade]]*60%)</f>
        <v>73.731999999999999</v>
      </c>
      <c r="L138">
        <f>StudentData[[#This Row],[Attendance_Percentage]]*40%+StudentData[[#This Row],[Assignments_Completed]]*2+StudentData[[#This Row],[Class_Participation]]*2+StudentData[[#This Row],[Projects_Submitted]]*4</f>
        <v>61.468000000000004</v>
      </c>
      <c r="M138">
        <f>StudentData[[#This Row],[Academic_Score]]*60%+StudentData[[#This Row],[Engagement_Score]]*30%+MIN(StudentData[[#This Row],[Study_Hours_per_Week]],20)/20*100*10%</f>
        <v>69.179599999999994</v>
      </c>
      <c r="N138" s="3" t="str" cm="1">
        <f t="array" ref="N138">_xlfn.IFS(StudentData[[#This Row],[Success_Score]]&gt;=85,"Exceptional",StudentData[[#This Row],[Success_Score]]&gt;=70,"Strong",StudentData[[#This Row],[Success_Score]]&gt;=55,"Developing",TRUE,"Needs Improvement")</f>
        <v>Developing</v>
      </c>
      <c r="O138" s="3" t="str">
        <f t="shared" si="4"/>
        <v>Medium Risk</v>
      </c>
      <c r="P138" s="3" t="str">
        <f t="shared" si="5"/>
        <v>18-20</v>
      </c>
    </row>
    <row r="139" spans="1:16">
      <c r="A139" t="s">
        <v>173</v>
      </c>
      <c r="B139">
        <v>18</v>
      </c>
      <c r="C139" t="s">
        <v>5</v>
      </c>
      <c r="D139">
        <v>57.62</v>
      </c>
      <c r="E139">
        <v>9</v>
      </c>
      <c r="F139">
        <v>8.5299999999999994</v>
      </c>
      <c r="G139">
        <v>83.54</v>
      </c>
      <c r="H139">
        <v>93.76</v>
      </c>
      <c r="I139">
        <v>5</v>
      </c>
      <c r="J139">
        <v>3</v>
      </c>
      <c r="K139">
        <f>(StudentData[[#This Row],[Midterm_Grade]]*40%)+(StudentData[[#This Row],[Final_Grade]]*60%)</f>
        <v>89.671999999999997</v>
      </c>
      <c r="L139">
        <f>StudentData[[#This Row],[Attendance_Percentage]]*40%+StudentData[[#This Row],[Assignments_Completed]]*2+StudentData[[#This Row],[Class_Participation]]*2+StudentData[[#This Row],[Projects_Submitted]]*4</f>
        <v>70.108000000000004</v>
      </c>
      <c r="M139">
        <f>StudentData[[#This Row],[Academic_Score]]*60%+StudentData[[#This Row],[Engagement_Score]]*30%+MIN(StudentData[[#This Row],[Study_Hours_per_Week]],20)/20*100*10%</f>
        <v>77.335599999999999</v>
      </c>
      <c r="N139" s="3" t="str" cm="1">
        <f t="array" ref="N139">_xlfn.IFS(StudentData[[#This Row],[Success_Score]]&gt;=85,"Exceptional",StudentData[[#This Row],[Success_Score]]&gt;=70,"Strong",StudentData[[#This Row],[Success_Score]]&gt;=55,"Developing",TRUE,"Needs Improvement")</f>
        <v>Strong</v>
      </c>
      <c r="O139" s="3" t="str">
        <f t="shared" si="4"/>
        <v>Medium Risk</v>
      </c>
      <c r="P139" s="3" t="str">
        <f t="shared" si="5"/>
        <v>18-20</v>
      </c>
    </row>
    <row r="140" spans="1:16">
      <c r="A140" t="s">
        <v>174</v>
      </c>
      <c r="B140">
        <v>24</v>
      </c>
      <c r="C140" t="s">
        <v>5</v>
      </c>
      <c r="D140">
        <v>99.62</v>
      </c>
      <c r="E140">
        <v>1</v>
      </c>
      <c r="F140">
        <v>5.42</v>
      </c>
      <c r="G140">
        <v>19.690000000000001</v>
      </c>
      <c r="H140">
        <v>67.97</v>
      </c>
      <c r="I140">
        <v>7</v>
      </c>
      <c r="J140">
        <v>3</v>
      </c>
      <c r="K140">
        <f>(StudentData[[#This Row],[Midterm_Grade]]*40%)+(StudentData[[#This Row],[Final_Grade]]*60%)</f>
        <v>48.658000000000001</v>
      </c>
      <c r="L140">
        <f>StudentData[[#This Row],[Attendance_Percentage]]*40%+StudentData[[#This Row],[Assignments_Completed]]*2+StudentData[[#This Row],[Class_Participation]]*2+StudentData[[#This Row],[Projects_Submitted]]*4</f>
        <v>64.688000000000002</v>
      </c>
      <c r="M140">
        <f>StudentData[[#This Row],[Academic_Score]]*60%+StudentData[[#This Row],[Engagement_Score]]*30%+MIN(StudentData[[#This Row],[Study_Hours_per_Week]],20)/20*100*10%</f>
        <v>52.101200000000006</v>
      </c>
      <c r="N140" s="3" t="str" cm="1">
        <f t="array" ref="N14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40" s="3" t="str">
        <f t="shared" si="4"/>
        <v>Medium Risk</v>
      </c>
      <c r="P140" s="3" t="str">
        <f t="shared" si="5"/>
        <v>24-25</v>
      </c>
    </row>
    <row r="141" spans="1:16">
      <c r="A141" t="s">
        <v>175</v>
      </c>
      <c r="B141">
        <v>18</v>
      </c>
      <c r="C141" t="s">
        <v>5</v>
      </c>
      <c r="D141">
        <v>96.35</v>
      </c>
      <c r="E141">
        <v>5</v>
      </c>
      <c r="F141">
        <v>7.58</v>
      </c>
      <c r="G141">
        <v>44.12</v>
      </c>
      <c r="H141">
        <v>57.02</v>
      </c>
      <c r="I141">
        <v>4</v>
      </c>
      <c r="J141">
        <v>5</v>
      </c>
      <c r="K141">
        <f>(StudentData[[#This Row],[Midterm_Grade]]*40%)+(StudentData[[#This Row],[Final_Grade]]*60%)</f>
        <v>51.86</v>
      </c>
      <c r="L141">
        <f>StudentData[[#This Row],[Attendance_Percentage]]*40%+StudentData[[#This Row],[Assignments_Completed]]*2+StudentData[[#This Row],[Class_Participation]]*2+StudentData[[#This Row],[Projects_Submitted]]*4</f>
        <v>83.7</v>
      </c>
      <c r="M141">
        <f>StudentData[[#This Row],[Academic_Score]]*60%+StudentData[[#This Row],[Engagement_Score]]*30%+MIN(StudentData[[#This Row],[Study_Hours_per_Week]],20)/20*100*10%</f>
        <v>58.225999999999999</v>
      </c>
      <c r="N141" s="3" t="str" cm="1">
        <f t="array" ref="N141">_xlfn.IFS(StudentData[[#This Row],[Success_Score]]&gt;=85,"Exceptional",StudentData[[#This Row],[Success_Score]]&gt;=70,"Strong",StudentData[[#This Row],[Success_Score]]&gt;=55,"Developing",TRUE,"Needs Improvement")</f>
        <v>Developing</v>
      </c>
      <c r="O141" s="3" t="str">
        <f t="shared" si="4"/>
        <v>Medium Risk</v>
      </c>
      <c r="P141" s="3" t="str">
        <f t="shared" si="5"/>
        <v>18-20</v>
      </c>
    </row>
    <row r="142" spans="1:16">
      <c r="A142" t="s">
        <v>176</v>
      </c>
      <c r="B142">
        <v>25</v>
      </c>
      <c r="C142" t="s">
        <v>5</v>
      </c>
      <c r="D142">
        <v>77</v>
      </c>
      <c r="E142">
        <v>5</v>
      </c>
      <c r="F142">
        <v>3.07</v>
      </c>
      <c r="G142">
        <v>19.940000000000001</v>
      </c>
      <c r="H142">
        <v>61.02</v>
      </c>
      <c r="I142">
        <v>7</v>
      </c>
      <c r="J142">
        <v>4</v>
      </c>
      <c r="K142">
        <f>(StudentData[[#This Row],[Midterm_Grade]]*40%)+(StudentData[[#This Row],[Final_Grade]]*60%)</f>
        <v>44.588000000000001</v>
      </c>
      <c r="L142">
        <f>StudentData[[#This Row],[Attendance_Percentage]]*40%+StudentData[[#This Row],[Assignments_Completed]]*2+StudentData[[#This Row],[Class_Participation]]*2+StudentData[[#This Row],[Projects_Submitted]]*4</f>
        <v>62.94</v>
      </c>
      <c r="M142">
        <f>StudentData[[#This Row],[Academic_Score]]*60%+StudentData[[#This Row],[Engagement_Score]]*30%+MIN(StudentData[[#This Row],[Study_Hours_per_Week]],20)/20*100*10%</f>
        <v>49.134799999999998</v>
      </c>
      <c r="N142" s="3" t="str" cm="1">
        <f t="array" ref="N14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42" s="3" t="str">
        <f t="shared" si="4"/>
        <v>Medium Risk</v>
      </c>
      <c r="P142" s="3" t="str">
        <f t="shared" si="5"/>
        <v>24-25</v>
      </c>
    </row>
    <row r="143" spans="1:16">
      <c r="A143" t="s">
        <v>177</v>
      </c>
      <c r="B143">
        <v>18</v>
      </c>
      <c r="C143" t="s">
        <v>5</v>
      </c>
      <c r="D143">
        <v>92.1</v>
      </c>
      <c r="E143">
        <v>0</v>
      </c>
      <c r="F143">
        <v>4.1500000000000004</v>
      </c>
      <c r="G143">
        <v>26.45</v>
      </c>
      <c r="H143">
        <v>94.24</v>
      </c>
      <c r="I143">
        <v>1</v>
      </c>
      <c r="J143">
        <v>1</v>
      </c>
      <c r="K143">
        <f>(StudentData[[#This Row],[Midterm_Grade]]*40%)+(StudentData[[#This Row],[Final_Grade]]*60%)</f>
        <v>67.123999999999995</v>
      </c>
      <c r="L143">
        <f>StudentData[[#This Row],[Attendance_Percentage]]*40%+StudentData[[#This Row],[Assignments_Completed]]*2+StudentData[[#This Row],[Class_Participation]]*2+StudentData[[#This Row],[Projects_Submitted]]*4</f>
        <v>49.14</v>
      </c>
      <c r="M143">
        <f>StudentData[[#This Row],[Academic_Score]]*60%+StudentData[[#This Row],[Engagement_Score]]*30%+MIN(StudentData[[#This Row],[Study_Hours_per_Week]],20)/20*100*10%</f>
        <v>55.51639999999999</v>
      </c>
      <c r="N143" s="3" t="str" cm="1">
        <f t="array" ref="N143">_xlfn.IFS(StudentData[[#This Row],[Success_Score]]&gt;=85,"Exceptional",StudentData[[#This Row],[Success_Score]]&gt;=70,"Strong",StudentData[[#This Row],[Success_Score]]&gt;=55,"Developing",TRUE,"Needs Improvement")</f>
        <v>Developing</v>
      </c>
      <c r="O143" s="3" t="str">
        <f t="shared" si="4"/>
        <v>Low Risk</v>
      </c>
      <c r="P143" s="3" t="str">
        <f t="shared" si="5"/>
        <v>18-20</v>
      </c>
    </row>
    <row r="144" spans="1:16">
      <c r="A144" t="s">
        <v>178</v>
      </c>
      <c r="B144">
        <v>21</v>
      </c>
      <c r="C144" t="s">
        <v>5</v>
      </c>
      <c r="D144">
        <v>76.05</v>
      </c>
      <c r="E144">
        <v>6</v>
      </c>
      <c r="F144">
        <v>7.13</v>
      </c>
      <c r="G144">
        <v>50.35</v>
      </c>
      <c r="H144">
        <v>78.819999999999993</v>
      </c>
      <c r="I144">
        <v>14</v>
      </c>
      <c r="J144">
        <v>4</v>
      </c>
      <c r="K144">
        <f>(StudentData[[#This Row],[Midterm_Grade]]*40%)+(StudentData[[#This Row],[Final_Grade]]*60%)</f>
        <v>67.431999999999988</v>
      </c>
      <c r="L144">
        <f>StudentData[[#This Row],[Attendance_Percentage]]*40%+StudentData[[#This Row],[Assignments_Completed]]*2+StudentData[[#This Row],[Class_Participation]]*2+StudentData[[#This Row],[Projects_Submitted]]*4</f>
        <v>72.680000000000007</v>
      </c>
      <c r="M144">
        <f>StudentData[[#This Row],[Academic_Score]]*60%+StudentData[[#This Row],[Engagement_Score]]*30%+MIN(StudentData[[#This Row],[Study_Hours_per_Week]],20)/20*100*10%</f>
        <v>69.263199999999983</v>
      </c>
      <c r="N144" s="3" t="str" cm="1">
        <f t="array" ref="N144">_xlfn.IFS(StudentData[[#This Row],[Success_Score]]&gt;=85,"Exceptional",StudentData[[#This Row],[Success_Score]]&gt;=70,"Strong",StudentData[[#This Row],[Success_Score]]&gt;=55,"Developing",TRUE,"Needs Improvement")</f>
        <v>Developing</v>
      </c>
      <c r="O144" s="3" t="str">
        <f t="shared" si="4"/>
        <v>Low Risk</v>
      </c>
      <c r="P144" s="3" t="str">
        <f t="shared" si="5"/>
        <v>21-23</v>
      </c>
    </row>
    <row r="145" spans="1:16">
      <c r="A145" t="s">
        <v>179</v>
      </c>
      <c r="B145">
        <v>25</v>
      </c>
      <c r="C145" t="s">
        <v>5</v>
      </c>
      <c r="D145">
        <v>81.180000000000007</v>
      </c>
      <c r="E145">
        <v>7</v>
      </c>
      <c r="F145">
        <v>3.86</v>
      </c>
      <c r="G145">
        <v>6.81</v>
      </c>
      <c r="H145">
        <v>2.4</v>
      </c>
      <c r="I145">
        <v>11</v>
      </c>
      <c r="J145">
        <v>0</v>
      </c>
      <c r="K145">
        <f>(StudentData[[#This Row],[Midterm_Grade]]*40%)+(StudentData[[#This Row],[Final_Grade]]*60%)</f>
        <v>4.1639999999999997</v>
      </c>
      <c r="L145">
        <f>StudentData[[#This Row],[Attendance_Percentage]]*40%+StudentData[[#This Row],[Assignments_Completed]]*2+StudentData[[#This Row],[Class_Participation]]*2+StudentData[[#This Row],[Projects_Submitted]]*4</f>
        <v>54.192</v>
      </c>
      <c r="M145">
        <f>StudentData[[#This Row],[Academic_Score]]*60%+StudentData[[#This Row],[Engagement_Score]]*30%+MIN(StudentData[[#This Row],[Study_Hours_per_Week]],20)/20*100*10%</f>
        <v>24.256</v>
      </c>
      <c r="N145" s="3" t="str" cm="1">
        <f t="array" ref="N14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45" s="3" t="str">
        <f t="shared" si="4"/>
        <v>Medium Risk</v>
      </c>
      <c r="P145" s="3" t="str">
        <f t="shared" si="5"/>
        <v>24-25</v>
      </c>
    </row>
    <row r="146" spans="1:16">
      <c r="A146" t="s">
        <v>180</v>
      </c>
      <c r="B146">
        <v>25</v>
      </c>
      <c r="C146" t="s">
        <v>5</v>
      </c>
      <c r="D146">
        <v>54.46</v>
      </c>
      <c r="E146">
        <v>1</v>
      </c>
      <c r="F146">
        <v>5.89</v>
      </c>
      <c r="G146">
        <v>21.82</v>
      </c>
      <c r="H146">
        <v>53.41</v>
      </c>
      <c r="I146">
        <v>16</v>
      </c>
      <c r="J146">
        <v>3</v>
      </c>
      <c r="K146">
        <f>(StudentData[[#This Row],[Midterm_Grade]]*40%)+(StudentData[[#This Row],[Final_Grade]]*60%)</f>
        <v>40.774000000000001</v>
      </c>
      <c r="L146">
        <f>StudentData[[#This Row],[Attendance_Percentage]]*40%+StudentData[[#This Row],[Assignments_Completed]]*2+StudentData[[#This Row],[Class_Participation]]*2+StudentData[[#This Row],[Projects_Submitted]]*4</f>
        <v>47.564</v>
      </c>
      <c r="M146">
        <f>StudentData[[#This Row],[Academic_Score]]*60%+StudentData[[#This Row],[Engagement_Score]]*30%+MIN(StudentData[[#This Row],[Study_Hours_per_Week]],20)/20*100*10%</f>
        <v>46.733600000000003</v>
      </c>
      <c r="N146" s="3" t="str" cm="1">
        <f t="array" ref="N14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46" s="3" t="str">
        <f t="shared" si="4"/>
        <v>High Risk</v>
      </c>
      <c r="P146" s="3" t="str">
        <f t="shared" si="5"/>
        <v>24-25</v>
      </c>
    </row>
    <row r="147" spans="1:16">
      <c r="A147" t="s">
        <v>181</v>
      </c>
      <c r="B147">
        <v>24</v>
      </c>
      <c r="C147" t="s">
        <v>4</v>
      </c>
      <c r="D147">
        <v>87.76</v>
      </c>
      <c r="E147">
        <v>7</v>
      </c>
      <c r="F147">
        <v>1.85</v>
      </c>
      <c r="G147">
        <v>93.54</v>
      </c>
      <c r="H147">
        <v>68.83</v>
      </c>
      <c r="I147">
        <v>0</v>
      </c>
      <c r="J147">
        <v>0</v>
      </c>
      <c r="K147">
        <f>(StudentData[[#This Row],[Midterm_Grade]]*40%)+(StudentData[[#This Row],[Final_Grade]]*60%)</f>
        <v>78.713999999999999</v>
      </c>
      <c r="L147">
        <f>StudentData[[#This Row],[Attendance_Percentage]]*40%+StudentData[[#This Row],[Assignments_Completed]]*2+StudentData[[#This Row],[Class_Participation]]*2+StudentData[[#This Row],[Projects_Submitted]]*4</f>
        <v>52.804000000000009</v>
      </c>
      <c r="M147">
        <f>StudentData[[#This Row],[Academic_Score]]*60%+StudentData[[#This Row],[Engagement_Score]]*30%+MIN(StudentData[[#This Row],[Study_Hours_per_Week]],20)/20*100*10%</f>
        <v>63.069600000000001</v>
      </c>
      <c r="N147" s="3" t="str" cm="1">
        <f t="array" ref="N147">_xlfn.IFS(StudentData[[#This Row],[Success_Score]]&gt;=85,"Exceptional",StudentData[[#This Row],[Success_Score]]&gt;=70,"Strong",StudentData[[#This Row],[Success_Score]]&gt;=55,"Developing",TRUE,"Needs Improvement")</f>
        <v>Developing</v>
      </c>
      <c r="O147" s="3" t="str">
        <f t="shared" si="4"/>
        <v>Low Risk</v>
      </c>
      <c r="P147" s="3" t="str">
        <f t="shared" si="5"/>
        <v>24-25</v>
      </c>
    </row>
    <row r="148" spans="1:16">
      <c r="A148" t="s">
        <v>182</v>
      </c>
      <c r="B148">
        <v>20</v>
      </c>
      <c r="C148" t="s">
        <v>4</v>
      </c>
      <c r="D148">
        <v>56.39</v>
      </c>
      <c r="E148">
        <v>8</v>
      </c>
      <c r="F148">
        <v>6</v>
      </c>
      <c r="G148">
        <v>46.61</v>
      </c>
      <c r="H148">
        <v>74.87</v>
      </c>
      <c r="I148">
        <v>14</v>
      </c>
      <c r="J148">
        <v>0</v>
      </c>
      <c r="K148">
        <f>(StudentData[[#This Row],[Midterm_Grade]]*40%)+(StudentData[[#This Row],[Final_Grade]]*60%)</f>
        <v>63.566000000000003</v>
      </c>
      <c r="L148">
        <f>StudentData[[#This Row],[Attendance_Percentage]]*40%+StudentData[[#This Row],[Assignments_Completed]]*2+StudentData[[#This Row],[Class_Participation]]*2+StudentData[[#This Row],[Projects_Submitted]]*4</f>
        <v>50.555999999999997</v>
      </c>
      <c r="M148">
        <f>StudentData[[#This Row],[Academic_Score]]*60%+StudentData[[#This Row],[Engagement_Score]]*30%+MIN(StudentData[[#This Row],[Study_Hours_per_Week]],20)/20*100*10%</f>
        <v>60.306399999999996</v>
      </c>
      <c r="N148" s="3" t="str" cm="1">
        <f t="array" ref="N148">_xlfn.IFS(StudentData[[#This Row],[Success_Score]]&gt;=85,"Exceptional",StudentData[[#This Row],[Success_Score]]&gt;=70,"Strong",StudentData[[#This Row],[Success_Score]]&gt;=55,"Developing",TRUE,"Needs Improvement")</f>
        <v>Developing</v>
      </c>
      <c r="O148" s="3" t="str">
        <f t="shared" si="4"/>
        <v>Medium Risk</v>
      </c>
      <c r="P148" s="3" t="str">
        <f t="shared" si="5"/>
        <v>18-20</v>
      </c>
    </row>
    <row r="149" spans="1:16">
      <c r="A149" t="s">
        <v>183</v>
      </c>
      <c r="B149">
        <v>20</v>
      </c>
      <c r="C149" t="s">
        <v>4</v>
      </c>
      <c r="D149">
        <v>91.3</v>
      </c>
      <c r="E149">
        <v>5</v>
      </c>
      <c r="F149">
        <v>8.6199999999999992</v>
      </c>
      <c r="G149">
        <v>44.54</v>
      </c>
      <c r="H149">
        <v>21.31</v>
      </c>
      <c r="I149">
        <v>13</v>
      </c>
      <c r="J149">
        <v>1</v>
      </c>
      <c r="K149">
        <f>(StudentData[[#This Row],[Midterm_Grade]]*40%)+(StudentData[[#This Row],[Final_Grade]]*60%)</f>
        <v>30.601999999999997</v>
      </c>
      <c r="L149">
        <f>StudentData[[#This Row],[Attendance_Percentage]]*40%+StudentData[[#This Row],[Assignments_Completed]]*2+StudentData[[#This Row],[Class_Participation]]*2+StudentData[[#This Row],[Projects_Submitted]]*4</f>
        <v>67.760000000000005</v>
      </c>
      <c r="M149">
        <f>StudentData[[#This Row],[Academic_Score]]*60%+StudentData[[#This Row],[Engagement_Score]]*30%+MIN(StudentData[[#This Row],[Study_Hours_per_Week]],20)/20*100*10%</f>
        <v>45.1892</v>
      </c>
      <c r="N149" s="3" t="str" cm="1">
        <f t="array" ref="N14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49" s="3" t="str">
        <f t="shared" si="4"/>
        <v>Medium Risk</v>
      </c>
      <c r="P149" s="3" t="str">
        <f t="shared" si="5"/>
        <v>18-20</v>
      </c>
    </row>
    <row r="150" spans="1:16">
      <c r="A150" t="s">
        <v>184</v>
      </c>
      <c r="B150">
        <v>18</v>
      </c>
      <c r="C150" t="s">
        <v>4</v>
      </c>
      <c r="D150">
        <v>89.1</v>
      </c>
      <c r="E150">
        <v>4</v>
      </c>
      <c r="F150">
        <v>8.69</v>
      </c>
      <c r="G150">
        <v>1.46</v>
      </c>
      <c r="H150">
        <v>86.72</v>
      </c>
      <c r="I150">
        <v>19</v>
      </c>
      <c r="J150">
        <v>0</v>
      </c>
      <c r="K150">
        <f>(StudentData[[#This Row],[Midterm_Grade]]*40%)+(StudentData[[#This Row],[Final_Grade]]*60%)</f>
        <v>52.616</v>
      </c>
      <c r="L150">
        <f>StudentData[[#This Row],[Attendance_Percentage]]*40%+StudentData[[#This Row],[Assignments_Completed]]*2+StudentData[[#This Row],[Class_Participation]]*2+StudentData[[#This Row],[Projects_Submitted]]*4</f>
        <v>61.019999999999996</v>
      </c>
      <c r="M150">
        <f>StudentData[[#This Row],[Academic_Score]]*60%+StudentData[[#This Row],[Engagement_Score]]*30%+MIN(StudentData[[#This Row],[Study_Hours_per_Week]],20)/20*100*10%</f>
        <v>59.375599999999991</v>
      </c>
      <c r="N150" s="3" t="str" cm="1">
        <f t="array" ref="N150">_xlfn.IFS(StudentData[[#This Row],[Success_Score]]&gt;=85,"Exceptional",StudentData[[#This Row],[Success_Score]]&gt;=70,"Strong",StudentData[[#This Row],[Success_Score]]&gt;=55,"Developing",TRUE,"Needs Improvement")</f>
        <v>Developing</v>
      </c>
      <c r="O150" s="3" t="str">
        <f t="shared" si="4"/>
        <v>Medium Risk</v>
      </c>
      <c r="P150" s="3" t="str">
        <f t="shared" si="5"/>
        <v>18-20</v>
      </c>
    </row>
    <row r="151" spans="1:16">
      <c r="A151" t="s">
        <v>185</v>
      </c>
      <c r="B151">
        <v>25</v>
      </c>
      <c r="C151" t="s">
        <v>4</v>
      </c>
      <c r="D151">
        <v>85.44</v>
      </c>
      <c r="E151">
        <v>8</v>
      </c>
      <c r="F151">
        <v>7.24</v>
      </c>
      <c r="G151">
        <v>24.74</v>
      </c>
      <c r="H151">
        <v>95.58</v>
      </c>
      <c r="I151">
        <v>15</v>
      </c>
      <c r="J151">
        <v>3</v>
      </c>
      <c r="K151">
        <f>(StudentData[[#This Row],[Midterm_Grade]]*40%)+(StudentData[[#This Row],[Final_Grade]]*60%)</f>
        <v>67.244</v>
      </c>
      <c r="L151">
        <f>StudentData[[#This Row],[Attendance_Percentage]]*40%+StudentData[[#This Row],[Assignments_Completed]]*2+StudentData[[#This Row],[Class_Participation]]*2+StudentData[[#This Row],[Projects_Submitted]]*4</f>
        <v>76.656000000000006</v>
      </c>
      <c r="M151">
        <f>StudentData[[#This Row],[Academic_Score]]*60%+StudentData[[#This Row],[Engagement_Score]]*30%+MIN(StudentData[[#This Row],[Study_Hours_per_Week]],20)/20*100*10%</f>
        <v>70.843199999999996</v>
      </c>
      <c r="N151" s="3" t="str" cm="1">
        <f t="array" ref="N151">_xlfn.IFS(StudentData[[#This Row],[Success_Score]]&gt;=85,"Exceptional",StudentData[[#This Row],[Success_Score]]&gt;=70,"Strong",StudentData[[#This Row],[Success_Score]]&gt;=55,"Developing",TRUE,"Needs Improvement")</f>
        <v>Strong</v>
      </c>
      <c r="O151" s="3" t="str">
        <f t="shared" si="4"/>
        <v>Low Risk</v>
      </c>
      <c r="P151" s="3" t="str">
        <f t="shared" si="5"/>
        <v>24-25</v>
      </c>
    </row>
    <row r="152" spans="1:16">
      <c r="A152" t="s">
        <v>186</v>
      </c>
      <c r="B152">
        <v>20</v>
      </c>
      <c r="C152" t="s">
        <v>5</v>
      </c>
      <c r="D152">
        <v>51.81</v>
      </c>
      <c r="E152">
        <v>10</v>
      </c>
      <c r="F152">
        <v>7.46</v>
      </c>
      <c r="G152">
        <v>86.63</v>
      </c>
      <c r="H152">
        <v>23.67</v>
      </c>
      <c r="I152">
        <v>8</v>
      </c>
      <c r="J152">
        <v>4</v>
      </c>
      <c r="K152">
        <f>(StudentData[[#This Row],[Midterm_Grade]]*40%)+(StudentData[[#This Row],[Final_Grade]]*60%)</f>
        <v>48.853999999999999</v>
      </c>
      <c r="L152">
        <f>StudentData[[#This Row],[Attendance_Percentage]]*40%+StudentData[[#This Row],[Assignments_Completed]]*2+StudentData[[#This Row],[Class_Participation]]*2+StudentData[[#This Row],[Projects_Submitted]]*4</f>
        <v>71.644000000000005</v>
      </c>
      <c r="M152">
        <f>StudentData[[#This Row],[Academic_Score]]*60%+StudentData[[#This Row],[Engagement_Score]]*30%+MIN(StudentData[[#This Row],[Study_Hours_per_Week]],20)/20*100*10%</f>
        <v>54.805599999999998</v>
      </c>
      <c r="N152" s="3" t="str" cm="1">
        <f t="array" ref="N15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52" s="3" t="str">
        <f t="shared" si="4"/>
        <v>High Risk</v>
      </c>
      <c r="P152" s="3" t="str">
        <f t="shared" si="5"/>
        <v>18-20</v>
      </c>
    </row>
    <row r="153" spans="1:16">
      <c r="A153" t="s">
        <v>187</v>
      </c>
      <c r="B153">
        <v>20</v>
      </c>
      <c r="C153" t="s">
        <v>4</v>
      </c>
      <c r="D153">
        <v>65.16</v>
      </c>
      <c r="E153">
        <v>8</v>
      </c>
      <c r="F153">
        <v>5.58</v>
      </c>
      <c r="G153">
        <v>16.46</v>
      </c>
      <c r="H153">
        <v>88.26</v>
      </c>
      <c r="I153">
        <v>0</v>
      </c>
      <c r="J153">
        <v>3</v>
      </c>
      <c r="K153">
        <f>(StudentData[[#This Row],[Midterm_Grade]]*40%)+(StudentData[[#This Row],[Final_Grade]]*60%)</f>
        <v>59.540000000000006</v>
      </c>
      <c r="L153">
        <f>StudentData[[#This Row],[Attendance_Percentage]]*40%+StudentData[[#This Row],[Assignments_Completed]]*2+StudentData[[#This Row],[Class_Participation]]*2+StudentData[[#This Row],[Projects_Submitted]]*4</f>
        <v>65.224000000000004</v>
      </c>
      <c r="M153">
        <f>StudentData[[#This Row],[Academic_Score]]*60%+StudentData[[#This Row],[Engagement_Score]]*30%+MIN(StudentData[[#This Row],[Study_Hours_per_Week]],20)/20*100*10%</f>
        <v>55.291200000000003</v>
      </c>
      <c r="N153" s="3" t="str" cm="1">
        <f t="array" ref="N153">_xlfn.IFS(StudentData[[#This Row],[Success_Score]]&gt;=85,"Exceptional",StudentData[[#This Row],[Success_Score]]&gt;=70,"Strong",StudentData[[#This Row],[Success_Score]]&gt;=55,"Developing",TRUE,"Needs Improvement")</f>
        <v>Developing</v>
      </c>
      <c r="O153" s="3" t="str">
        <f t="shared" si="4"/>
        <v>Medium Risk</v>
      </c>
      <c r="P153" s="3" t="str">
        <f t="shared" si="5"/>
        <v>18-20</v>
      </c>
    </row>
    <row r="154" spans="1:16">
      <c r="A154" t="s">
        <v>188</v>
      </c>
      <c r="B154">
        <v>18</v>
      </c>
      <c r="C154" t="s">
        <v>4</v>
      </c>
      <c r="D154">
        <v>63.16</v>
      </c>
      <c r="E154">
        <v>0</v>
      </c>
      <c r="F154">
        <v>5.85</v>
      </c>
      <c r="G154">
        <v>41.51</v>
      </c>
      <c r="H154">
        <v>9.6999999999999993</v>
      </c>
      <c r="I154">
        <v>16</v>
      </c>
      <c r="J154">
        <v>1</v>
      </c>
      <c r="K154">
        <f>(StudentData[[#This Row],[Midterm_Grade]]*40%)+(StudentData[[#This Row],[Final_Grade]]*60%)</f>
        <v>22.423999999999999</v>
      </c>
      <c r="L154">
        <f>StudentData[[#This Row],[Attendance_Percentage]]*40%+StudentData[[#This Row],[Assignments_Completed]]*2+StudentData[[#This Row],[Class_Participation]]*2+StudentData[[#This Row],[Projects_Submitted]]*4</f>
        <v>40.963999999999999</v>
      </c>
      <c r="M154">
        <f>StudentData[[#This Row],[Academic_Score]]*60%+StudentData[[#This Row],[Engagement_Score]]*30%+MIN(StudentData[[#This Row],[Study_Hours_per_Week]],20)/20*100*10%</f>
        <v>33.743600000000001</v>
      </c>
      <c r="N154" s="3" t="str" cm="1">
        <f t="array" ref="N15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54" s="3" t="str">
        <f t="shared" si="4"/>
        <v>Medium Risk</v>
      </c>
      <c r="P154" s="3" t="str">
        <f t="shared" si="5"/>
        <v>18-20</v>
      </c>
    </row>
    <row r="155" spans="1:16">
      <c r="A155" t="s">
        <v>189</v>
      </c>
      <c r="B155">
        <v>20</v>
      </c>
      <c r="C155" t="s">
        <v>4</v>
      </c>
      <c r="D155">
        <v>68.010000000000005</v>
      </c>
      <c r="E155">
        <v>10</v>
      </c>
      <c r="F155">
        <v>1.34</v>
      </c>
      <c r="G155">
        <v>1.43</v>
      </c>
      <c r="H155">
        <v>5.57</v>
      </c>
      <c r="I155">
        <v>12</v>
      </c>
      <c r="J155">
        <v>3</v>
      </c>
      <c r="K155">
        <f>(StudentData[[#This Row],[Midterm_Grade]]*40%)+(StudentData[[#This Row],[Final_Grade]]*60%)</f>
        <v>3.9140000000000001</v>
      </c>
      <c r="L155">
        <f>StudentData[[#This Row],[Attendance_Percentage]]*40%+StudentData[[#This Row],[Assignments_Completed]]*2+StudentData[[#This Row],[Class_Participation]]*2+StudentData[[#This Row],[Projects_Submitted]]*4</f>
        <v>61.884000000000007</v>
      </c>
      <c r="M155">
        <f>StudentData[[#This Row],[Academic_Score]]*60%+StudentData[[#This Row],[Engagement_Score]]*30%+MIN(StudentData[[#This Row],[Study_Hours_per_Week]],20)/20*100*10%</f>
        <v>26.913600000000002</v>
      </c>
      <c r="N155" s="3" t="str" cm="1">
        <f t="array" ref="N15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55" s="3" t="str">
        <f t="shared" si="4"/>
        <v>Medium Risk</v>
      </c>
      <c r="P155" s="3" t="str">
        <f t="shared" si="5"/>
        <v>18-20</v>
      </c>
    </row>
    <row r="156" spans="1:16">
      <c r="A156" t="s">
        <v>190</v>
      </c>
      <c r="B156">
        <v>22</v>
      </c>
      <c r="C156" t="s">
        <v>5</v>
      </c>
      <c r="D156">
        <v>54.38</v>
      </c>
      <c r="E156">
        <v>2</v>
      </c>
      <c r="F156">
        <v>4.4400000000000004</v>
      </c>
      <c r="G156">
        <v>47.83</v>
      </c>
      <c r="H156">
        <v>12.92</v>
      </c>
      <c r="I156">
        <v>4</v>
      </c>
      <c r="J156">
        <v>2</v>
      </c>
      <c r="K156">
        <f>(StudentData[[#This Row],[Midterm_Grade]]*40%)+(StudentData[[#This Row],[Final_Grade]]*60%)</f>
        <v>26.884</v>
      </c>
      <c r="L156">
        <f>StudentData[[#This Row],[Attendance_Percentage]]*40%+StudentData[[#This Row],[Assignments_Completed]]*2+StudentData[[#This Row],[Class_Participation]]*2+StudentData[[#This Row],[Projects_Submitted]]*4</f>
        <v>42.632000000000005</v>
      </c>
      <c r="M156">
        <f>StudentData[[#This Row],[Academic_Score]]*60%+StudentData[[#This Row],[Engagement_Score]]*30%+MIN(StudentData[[#This Row],[Study_Hours_per_Week]],20)/20*100*10%</f>
        <v>30.92</v>
      </c>
      <c r="N156" s="3" t="str" cm="1">
        <f t="array" ref="N15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56" s="3" t="str">
        <f t="shared" si="4"/>
        <v>High Risk</v>
      </c>
      <c r="P156" s="3" t="str">
        <f t="shared" si="5"/>
        <v>21-23</v>
      </c>
    </row>
    <row r="157" spans="1:16">
      <c r="A157" t="s">
        <v>191</v>
      </c>
      <c r="B157">
        <v>19</v>
      </c>
      <c r="C157" t="s">
        <v>5</v>
      </c>
      <c r="D157">
        <v>96.85</v>
      </c>
      <c r="E157">
        <v>8</v>
      </c>
      <c r="F157">
        <v>4.51</v>
      </c>
      <c r="G157">
        <v>2.1</v>
      </c>
      <c r="H157">
        <v>5.77</v>
      </c>
      <c r="I157">
        <v>9</v>
      </c>
      <c r="J157">
        <v>4</v>
      </c>
      <c r="K157">
        <f>(StudentData[[#This Row],[Midterm_Grade]]*40%)+(StudentData[[#This Row],[Final_Grade]]*60%)</f>
        <v>4.3019999999999996</v>
      </c>
      <c r="L157">
        <f>StudentData[[#This Row],[Attendance_Percentage]]*40%+StudentData[[#This Row],[Assignments_Completed]]*2+StudentData[[#This Row],[Class_Participation]]*2+StudentData[[#This Row],[Projects_Submitted]]*4</f>
        <v>79.760000000000005</v>
      </c>
      <c r="M157">
        <f>StudentData[[#This Row],[Academic_Score]]*60%+StudentData[[#This Row],[Engagement_Score]]*30%+MIN(StudentData[[#This Row],[Study_Hours_per_Week]],20)/20*100*10%</f>
        <v>31.0092</v>
      </c>
      <c r="N157" s="3" t="str" cm="1">
        <f t="array" ref="N15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57" s="3" t="str">
        <f t="shared" si="4"/>
        <v>Medium Risk</v>
      </c>
      <c r="P157" s="3" t="str">
        <f t="shared" si="5"/>
        <v>18-20</v>
      </c>
    </row>
    <row r="158" spans="1:16">
      <c r="A158" t="s">
        <v>192</v>
      </c>
      <c r="B158">
        <v>24</v>
      </c>
      <c r="C158" t="s">
        <v>5</v>
      </c>
      <c r="D158">
        <v>77.69</v>
      </c>
      <c r="E158">
        <v>10</v>
      </c>
      <c r="F158">
        <v>9.58</v>
      </c>
      <c r="G158">
        <v>81.96</v>
      </c>
      <c r="H158">
        <v>84.5</v>
      </c>
      <c r="I158">
        <v>5</v>
      </c>
      <c r="J158">
        <v>2</v>
      </c>
      <c r="K158">
        <f>(StudentData[[#This Row],[Midterm_Grade]]*40%)+(StudentData[[#This Row],[Final_Grade]]*60%)</f>
        <v>83.483999999999995</v>
      </c>
      <c r="L158">
        <f>StudentData[[#This Row],[Attendance_Percentage]]*40%+StudentData[[#This Row],[Assignments_Completed]]*2+StudentData[[#This Row],[Class_Participation]]*2+StudentData[[#This Row],[Projects_Submitted]]*4</f>
        <v>78.236000000000004</v>
      </c>
      <c r="M158">
        <f>StudentData[[#This Row],[Academic_Score]]*60%+StudentData[[#This Row],[Engagement_Score]]*30%+MIN(StudentData[[#This Row],[Study_Hours_per_Week]],20)/20*100*10%</f>
        <v>76.061199999999999</v>
      </c>
      <c r="N158" s="3" t="str" cm="1">
        <f t="array" ref="N158">_xlfn.IFS(StudentData[[#This Row],[Success_Score]]&gt;=85,"Exceptional",StudentData[[#This Row],[Success_Score]]&gt;=70,"Strong",StudentData[[#This Row],[Success_Score]]&gt;=55,"Developing",TRUE,"Needs Improvement")</f>
        <v>Strong</v>
      </c>
      <c r="O158" s="3" t="str">
        <f t="shared" si="4"/>
        <v>Low Risk</v>
      </c>
      <c r="P158" s="3" t="str">
        <f t="shared" si="5"/>
        <v>24-25</v>
      </c>
    </row>
    <row r="159" spans="1:16">
      <c r="A159" t="s">
        <v>193</v>
      </c>
      <c r="B159">
        <v>19</v>
      </c>
      <c r="C159" t="s">
        <v>5</v>
      </c>
      <c r="D159">
        <v>65.28</v>
      </c>
      <c r="E159">
        <v>1</v>
      </c>
      <c r="F159">
        <v>4.3099999999999996</v>
      </c>
      <c r="G159">
        <v>82.49</v>
      </c>
      <c r="H159">
        <v>5.91</v>
      </c>
      <c r="I159">
        <v>18</v>
      </c>
      <c r="J159">
        <v>2</v>
      </c>
      <c r="K159">
        <f>(StudentData[[#This Row],[Midterm_Grade]]*40%)+(StudentData[[#This Row],[Final_Grade]]*60%)</f>
        <v>36.542000000000002</v>
      </c>
      <c r="L159">
        <f>StudentData[[#This Row],[Attendance_Percentage]]*40%+StudentData[[#This Row],[Assignments_Completed]]*2+StudentData[[#This Row],[Class_Participation]]*2+StudentData[[#This Row],[Projects_Submitted]]*4</f>
        <v>44.731999999999999</v>
      </c>
      <c r="M159">
        <f>StudentData[[#This Row],[Academic_Score]]*60%+StudentData[[#This Row],[Engagement_Score]]*30%+MIN(StudentData[[#This Row],[Study_Hours_per_Week]],20)/20*100*10%</f>
        <v>44.344799999999999</v>
      </c>
      <c r="N159" s="3" t="str" cm="1">
        <f t="array" ref="N15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59" s="3" t="str">
        <f t="shared" si="4"/>
        <v>Medium Risk</v>
      </c>
      <c r="P159" s="3" t="str">
        <f t="shared" si="5"/>
        <v>18-20</v>
      </c>
    </row>
    <row r="160" spans="1:16">
      <c r="A160" t="s">
        <v>194</v>
      </c>
      <c r="B160">
        <v>18</v>
      </c>
      <c r="C160" t="s">
        <v>4</v>
      </c>
      <c r="D160">
        <v>69.849999999999994</v>
      </c>
      <c r="E160">
        <v>3</v>
      </c>
      <c r="F160">
        <v>5.49</v>
      </c>
      <c r="G160">
        <v>78.77</v>
      </c>
      <c r="H160">
        <v>27.17</v>
      </c>
      <c r="I160">
        <v>12</v>
      </c>
      <c r="J160">
        <v>5</v>
      </c>
      <c r="K160">
        <f>(StudentData[[#This Row],[Midterm_Grade]]*40%)+(StudentData[[#This Row],[Final_Grade]]*60%)</f>
        <v>47.81</v>
      </c>
      <c r="L160">
        <f>StudentData[[#This Row],[Attendance_Percentage]]*40%+StudentData[[#This Row],[Assignments_Completed]]*2+StudentData[[#This Row],[Class_Participation]]*2+StudentData[[#This Row],[Projects_Submitted]]*4</f>
        <v>64.92</v>
      </c>
      <c r="M160">
        <f>StudentData[[#This Row],[Academic_Score]]*60%+StudentData[[#This Row],[Engagement_Score]]*30%+MIN(StudentData[[#This Row],[Study_Hours_per_Week]],20)/20*100*10%</f>
        <v>54.161999999999999</v>
      </c>
      <c r="N160" s="3" t="str" cm="1">
        <f t="array" ref="N16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60" s="3" t="str">
        <f t="shared" si="4"/>
        <v>Medium Risk</v>
      </c>
      <c r="P160" s="3" t="str">
        <f t="shared" si="5"/>
        <v>18-20</v>
      </c>
    </row>
    <row r="161" spans="1:16">
      <c r="A161" t="s">
        <v>195</v>
      </c>
      <c r="B161">
        <v>21</v>
      </c>
      <c r="C161" t="s">
        <v>4</v>
      </c>
      <c r="D161">
        <v>72.36</v>
      </c>
      <c r="E161">
        <v>3</v>
      </c>
      <c r="F161">
        <v>5.33</v>
      </c>
      <c r="G161">
        <v>28.34</v>
      </c>
      <c r="H161">
        <v>10.38</v>
      </c>
      <c r="I161">
        <v>0</v>
      </c>
      <c r="J161">
        <v>1</v>
      </c>
      <c r="K161">
        <f>(StudentData[[#This Row],[Midterm_Grade]]*40%)+(StudentData[[#This Row],[Final_Grade]]*60%)</f>
        <v>17.564</v>
      </c>
      <c r="L161">
        <f>StudentData[[#This Row],[Attendance_Percentage]]*40%+StudentData[[#This Row],[Assignments_Completed]]*2+StudentData[[#This Row],[Class_Participation]]*2+StudentData[[#This Row],[Projects_Submitted]]*4</f>
        <v>49.603999999999999</v>
      </c>
      <c r="M161">
        <f>StudentData[[#This Row],[Academic_Score]]*60%+StudentData[[#This Row],[Engagement_Score]]*30%+MIN(StudentData[[#This Row],[Study_Hours_per_Week]],20)/20*100*10%</f>
        <v>25.419599999999999</v>
      </c>
      <c r="N161" s="3" t="str" cm="1">
        <f t="array" ref="N16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61" s="3" t="str">
        <f t="shared" si="4"/>
        <v>Medium Risk</v>
      </c>
      <c r="P161" s="3" t="str">
        <f t="shared" si="5"/>
        <v>21-23</v>
      </c>
    </row>
    <row r="162" spans="1:16">
      <c r="A162" t="s">
        <v>196</v>
      </c>
      <c r="B162">
        <v>24</v>
      </c>
      <c r="C162" t="s">
        <v>5</v>
      </c>
      <c r="D162">
        <v>80.03</v>
      </c>
      <c r="E162">
        <v>1</v>
      </c>
      <c r="F162">
        <v>6.37</v>
      </c>
      <c r="G162">
        <v>83.72</v>
      </c>
      <c r="H162">
        <v>29.54</v>
      </c>
      <c r="I162">
        <v>19</v>
      </c>
      <c r="J162">
        <v>0</v>
      </c>
      <c r="K162">
        <f>(StudentData[[#This Row],[Midterm_Grade]]*40%)+(StudentData[[#This Row],[Final_Grade]]*60%)</f>
        <v>51.212000000000003</v>
      </c>
      <c r="L162">
        <f>StudentData[[#This Row],[Attendance_Percentage]]*40%+StudentData[[#This Row],[Assignments_Completed]]*2+StudentData[[#This Row],[Class_Participation]]*2+StudentData[[#This Row],[Projects_Submitted]]*4</f>
        <v>46.752000000000002</v>
      </c>
      <c r="M162">
        <f>StudentData[[#This Row],[Academic_Score]]*60%+StudentData[[#This Row],[Engagement_Score]]*30%+MIN(StudentData[[#This Row],[Study_Hours_per_Week]],20)/20*100*10%</f>
        <v>54.252800000000001</v>
      </c>
      <c r="N162" s="3" t="str" cm="1">
        <f t="array" ref="N16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62" s="3" t="str">
        <f t="shared" si="4"/>
        <v>Medium Risk</v>
      </c>
      <c r="P162" s="3" t="str">
        <f t="shared" si="5"/>
        <v>24-25</v>
      </c>
    </row>
    <row r="163" spans="1:16">
      <c r="A163" t="s">
        <v>197</v>
      </c>
      <c r="B163">
        <v>18</v>
      </c>
      <c r="C163" t="s">
        <v>6</v>
      </c>
      <c r="D163">
        <v>75.78</v>
      </c>
      <c r="E163">
        <v>2</v>
      </c>
      <c r="F163">
        <v>7.48</v>
      </c>
      <c r="G163">
        <v>54.3</v>
      </c>
      <c r="H163">
        <v>9.06</v>
      </c>
      <c r="I163">
        <v>14</v>
      </c>
      <c r="J163">
        <v>2</v>
      </c>
      <c r="K163">
        <f>(StudentData[[#This Row],[Midterm_Grade]]*40%)+(StudentData[[#This Row],[Final_Grade]]*60%)</f>
        <v>27.155999999999999</v>
      </c>
      <c r="L163">
        <f>StudentData[[#This Row],[Attendance_Percentage]]*40%+StudentData[[#This Row],[Assignments_Completed]]*2+StudentData[[#This Row],[Class_Participation]]*2+StudentData[[#This Row],[Projects_Submitted]]*4</f>
        <v>57.271999999999998</v>
      </c>
      <c r="M163">
        <f>StudentData[[#This Row],[Academic_Score]]*60%+StudentData[[#This Row],[Engagement_Score]]*30%+MIN(StudentData[[#This Row],[Study_Hours_per_Week]],20)/20*100*10%</f>
        <v>40.475200000000001</v>
      </c>
      <c r="N163" s="3" t="str" cm="1">
        <f t="array" ref="N16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63" s="3" t="str">
        <f t="shared" si="4"/>
        <v>Medium Risk</v>
      </c>
      <c r="P163" s="3" t="str">
        <f t="shared" si="5"/>
        <v>18-20</v>
      </c>
    </row>
    <row r="164" spans="1:16">
      <c r="A164" t="s">
        <v>198</v>
      </c>
      <c r="B164">
        <v>25</v>
      </c>
      <c r="C164" t="s">
        <v>4</v>
      </c>
      <c r="D164">
        <v>95.97</v>
      </c>
      <c r="E164">
        <v>2</v>
      </c>
      <c r="F164">
        <v>2.25</v>
      </c>
      <c r="G164">
        <v>37.380000000000003</v>
      </c>
      <c r="H164">
        <v>66.8</v>
      </c>
      <c r="I164">
        <v>13</v>
      </c>
      <c r="J164">
        <v>3</v>
      </c>
      <c r="K164">
        <f>(StudentData[[#This Row],[Midterm_Grade]]*40%)+(StudentData[[#This Row],[Final_Grade]]*60%)</f>
        <v>55.031999999999996</v>
      </c>
      <c r="L164">
        <f>StudentData[[#This Row],[Attendance_Percentage]]*40%+StudentData[[#This Row],[Assignments_Completed]]*2+StudentData[[#This Row],[Class_Participation]]*2+StudentData[[#This Row],[Projects_Submitted]]*4</f>
        <v>58.888000000000005</v>
      </c>
      <c r="M164">
        <f>StudentData[[#This Row],[Academic_Score]]*60%+StudentData[[#This Row],[Engagement_Score]]*30%+MIN(StudentData[[#This Row],[Study_Hours_per_Week]],20)/20*100*10%</f>
        <v>57.185599999999994</v>
      </c>
      <c r="N164" s="3" t="str" cm="1">
        <f t="array" ref="N164">_xlfn.IFS(StudentData[[#This Row],[Success_Score]]&gt;=85,"Exceptional",StudentData[[#This Row],[Success_Score]]&gt;=70,"Strong",StudentData[[#This Row],[Success_Score]]&gt;=55,"Developing",TRUE,"Needs Improvement")</f>
        <v>Developing</v>
      </c>
      <c r="O164" s="3" t="str">
        <f t="shared" si="4"/>
        <v>Medium Risk</v>
      </c>
      <c r="P164" s="3" t="str">
        <f t="shared" si="5"/>
        <v>24-25</v>
      </c>
    </row>
    <row r="165" spans="1:16">
      <c r="A165" t="s">
        <v>199</v>
      </c>
      <c r="B165">
        <v>21</v>
      </c>
      <c r="C165" t="s">
        <v>5</v>
      </c>
      <c r="D165">
        <v>74.849999999999994</v>
      </c>
      <c r="E165">
        <v>0</v>
      </c>
      <c r="F165">
        <v>5.29</v>
      </c>
      <c r="G165">
        <v>62.53</v>
      </c>
      <c r="H165">
        <v>13.33</v>
      </c>
      <c r="I165">
        <v>7</v>
      </c>
      <c r="J165">
        <v>0</v>
      </c>
      <c r="K165">
        <f>(StudentData[[#This Row],[Midterm_Grade]]*40%)+(StudentData[[#This Row],[Final_Grade]]*60%)</f>
        <v>33.01</v>
      </c>
      <c r="L165">
        <f>StudentData[[#This Row],[Attendance_Percentage]]*40%+StudentData[[#This Row],[Assignments_Completed]]*2+StudentData[[#This Row],[Class_Participation]]*2+StudentData[[#This Row],[Projects_Submitted]]*4</f>
        <v>40.519999999999996</v>
      </c>
      <c r="M165">
        <f>StudentData[[#This Row],[Academic_Score]]*60%+StudentData[[#This Row],[Engagement_Score]]*30%+MIN(StudentData[[#This Row],[Study_Hours_per_Week]],20)/20*100*10%</f>
        <v>35.461999999999996</v>
      </c>
      <c r="N165" s="3" t="str" cm="1">
        <f t="array" ref="N16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65" s="3" t="str">
        <f t="shared" si="4"/>
        <v>Medium Risk</v>
      </c>
      <c r="P165" s="3" t="str">
        <f t="shared" si="5"/>
        <v>21-23</v>
      </c>
    </row>
    <row r="166" spans="1:16">
      <c r="A166" t="s">
        <v>200</v>
      </c>
      <c r="B166">
        <v>19</v>
      </c>
      <c r="C166" t="s">
        <v>5</v>
      </c>
      <c r="D166">
        <v>99.61</v>
      </c>
      <c r="E166">
        <v>5</v>
      </c>
      <c r="F166">
        <v>8.26</v>
      </c>
      <c r="G166">
        <v>1.23</v>
      </c>
      <c r="H166">
        <v>85.18</v>
      </c>
      <c r="I166">
        <v>9</v>
      </c>
      <c r="J166">
        <v>3</v>
      </c>
      <c r="K166">
        <f>(StudentData[[#This Row],[Midterm_Grade]]*40%)+(StudentData[[#This Row],[Final_Grade]]*60%)</f>
        <v>51.6</v>
      </c>
      <c r="L166">
        <f>StudentData[[#This Row],[Attendance_Percentage]]*40%+StudentData[[#This Row],[Assignments_Completed]]*2+StudentData[[#This Row],[Class_Participation]]*2+StudentData[[#This Row],[Projects_Submitted]]*4</f>
        <v>78.364000000000004</v>
      </c>
      <c r="M166">
        <f>StudentData[[#This Row],[Academic_Score]]*60%+StudentData[[#This Row],[Engagement_Score]]*30%+MIN(StudentData[[#This Row],[Study_Hours_per_Week]],20)/20*100*10%</f>
        <v>58.969200000000001</v>
      </c>
      <c r="N166" s="3" t="str" cm="1">
        <f t="array" ref="N166">_xlfn.IFS(StudentData[[#This Row],[Success_Score]]&gt;=85,"Exceptional",StudentData[[#This Row],[Success_Score]]&gt;=70,"Strong",StudentData[[#This Row],[Success_Score]]&gt;=55,"Developing",TRUE,"Needs Improvement")</f>
        <v>Developing</v>
      </c>
      <c r="O166" s="3" t="str">
        <f t="shared" si="4"/>
        <v>Medium Risk</v>
      </c>
      <c r="P166" s="3" t="str">
        <f t="shared" si="5"/>
        <v>18-20</v>
      </c>
    </row>
    <row r="167" spans="1:16">
      <c r="A167" t="s">
        <v>201</v>
      </c>
      <c r="B167">
        <v>18</v>
      </c>
      <c r="C167" t="s">
        <v>5</v>
      </c>
      <c r="D167">
        <v>92.57</v>
      </c>
      <c r="E167">
        <v>7</v>
      </c>
      <c r="F167">
        <v>4.63</v>
      </c>
      <c r="G167">
        <v>14.3</v>
      </c>
      <c r="H167">
        <v>81.72</v>
      </c>
      <c r="I167">
        <v>8</v>
      </c>
      <c r="J167">
        <v>3</v>
      </c>
      <c r="K167">
        <f>(StudentData[[#This Row],[Midterm_Grade]]*40%)+(StudentData[[#This Row],[Final_Grade]]*60%)</f>
        <v>54.751999999999995</v>
      </c>
      <c r="L167">
        <f>StudentData[[#This Row],[Attendance_Percentage]]*40%+StudentData[[#This Row],[Assignments_Completed]]*2+StudentData[[#This Row],[Class_Participation]]*2+StudentData[[#This Row],[Projects_Submitted]]*4</f>
        <v>72.287999999999997</v>
      </c>
      <c r="M167">
        <f>StudentData[[#This Row],[Academic_Score]]*60%+StudentData[[#This Row],[Engagement_Score]]*30%+MIN(StudentData[[#This Row],[Study_Hours_per_Week]],20)/20*100*10%</f>
        <v>58.537599999999998</v>
      </c>
      <c r="N167" s="3" t="str" cm="1">
        <f t="array" ref="N167">_xlfn.IFS(StudentData[[#This Row],[Success_Score]]&gt;=85,"Exceptional",StudentData[[#This Row],[Success_Score]]&gt;=70,"Strong",StudentData[[#This Row],[Success_Score]]&gt;=55,"Developing",TRUE,"Needs Improvement")</f>
        <v>Developing</v>
      </c>
      <c r="O167" s="3" t="str">
        <f t="shared" si="4"/>
        <v>Medium Risk</v>
      </c>
      <c r="P167" s="3" t="str">
        <f t="shared" si="5"/>
        <v>18-20</v>
      </c>
    </row>
    <row r="168" spans="1:16">
      <c r="A168" t="s">
        <v>202</v>
      </c>
      <c r="B168">
        <v>25</v>
      </c>
      <c r="C168" t="s">
        <v>5</v>
      </c>
      <c r="D168">
        <v>60.43</v>
      </c>
      <c r="E168">
        <v>2</v>
      </c>
      <c r="F168">
        <v>2.78</v>
      </c>
      <c r="G168">
        <v>74.23</v>
      </c>
      <c r="H168">
        <v>1.37</v>
      </c>
      <c r="I168">
        <v>16</v>
      </c>
      <c r="J168">
        <v>0</v>
      </c>
      <c r="K168">
        <f>(StudentData[[#This Row],[Midterm_Grade]]*40%)+(StudentData[[#This Row],[Final_Grade]]*60%)</f>
        <v>30.514000000000003</v>
      </c>
      <c r="L168">
        <f>StudentData[[#This Row],[Attendance_Percentage]]*40%+StudentData[[#This Row],[Assignments_Completed]]*2+StudentData[[#This Row],[Class_Participation]]*2+StudentData[[#This Row],[Projects_Submitted]]*4</f>
        <v>33.731999999999999</v>
      </c>
      <c r="M168">
        <f>StudentData[[#This Row],[Academic_Score]]*60%+StudentData[[#This Row],[Engagement_Score]]*30%+MIN(StudentData[[#This Row],[Study_Hours_per_Week]],20)/20*100*10%</f>
        <v>36.428000000000004</v>
      </c>
      <c r="N168" s="3" t="str" cm="1">
        <f t="array" ref="N16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68" s="3" t="str">
        <f t="shared" si="4"/>
        <v>Medium Risk</v>
      </c>
      <c r="P168" s="3" t="str">
        <f t="shared" si="5"/>
        <v>24-25</v>
      </c>
    </row>
    <row r="169" spans="1:16">
      <c r="A169" t="s">
        <v>203</v>
      </c>
      <c r="B169">
        <v>24</v>
      </c>
      <c r="C169" t="s">
        <v>5</v>
      </c>
      <c r="D169">
        <v>96.53</v>
      </c>
      <c r="E169">
        <v>4</v>
      </c>
      <c r="F169">
        <v>6.55</v>
      </c>
      <c r="G169">
        <v>24.42</v>
      </c>
      <c r="H169">
        <v>89.57</v>
      </c>
      <c r="I169">
        <v>8</v>
      </c>
      <c r="J169">
        <v>0</v>
      </c>
      <c r="K169">
        <f>(StudentData[[#This Row],[Midterm_Grade]]*40%)+(StudentData[[#This Row],[Final_Grade]]*60%)</f>
        <v>63.51</v>
      </c>
      <c r="L169">
        <f>StudentData[[#This Row],[Attendance_Percentage]]*40%+StudentData[[#This Row],[Assignments_Completed]]*2+StudentData[[#This Row],[Class_Participation]]*2+StudentData[[#This Row],[Projects_Submitted]]*4</f>
        <v>59.712000000000003</v>
      </c>
      <c r="M169">
        <f>StudentData[[#This Row],[Academic_Score]]*60%+StudentData[[#This Row],[Engagement_Score]]*30%+MIN(StudentData[[#This Row],[Study_Hours_per_Week]],20)/20*100*10%</f>
        <v>60.019599999999997</v>
      </c>
      <c r="N169" s="3" t="str" cm="1">
        <f t="array" ref="N169">_xlfn.IFS(StudentData[[#This Row],[Success_Score]]&gt;=85,"Exceptional",StudentData[[#This Row],[Success_Score]]&gt;=70,"Strong",StudentData[[#This Row],[Success_Score]]&gt;=55,"Developing",TRUE,"Needs Improvement")</f>
        <v>Developing</v>
      </c>
      <c r="O169" s="3" t="str">
        <f t="shared" si="4"/>
        <v>Low Risk</v>
      </c>
      <c r="P169" s="3" t="str">
        <f t="shared" si="5"/>
        <v>24-25</v>
      </c>
    </row>
    <row r="170" spans="1:16">
      <c r="A170" t="s">
        <v>204</v>
      </c>
      <c r="B170">
        <v>24</v>
      </c>
      <c r="C170" t="s">
        <v>5</v>
      </c>
      <c r="D170">
        <v>55.82</v>
      </c>
      <c r="E170">
        <v>0</v>
      </c>
      <c r="F170">
        <v>8.24</v>
      </c>
      <c r="G170">
        <v>59.8</v>
      </c>
      <c r="H170">
        <v>2.89</v>
      </c>
      <c r="I170">
        <v>2</v>
      </c>
      <c r="J170">
        <v>3</v>
      </c>
      <c r="K170">
        <f>(StudentData[[#This Row],[Midterm_Grade]]*40%)+(StudentData[[#This Row],[Final_Grade]]*60%)</f>
        <v>25.654000000000003</v>
      </c>
      <c r="L170">
        <f>StudentData[[#This Row],[Attendance_Percentage]]*40%+StudentData[[#This Row],[Assignments_Completed]]*2+StudentData[[#This Row],[Class_Participation]]*2+StudentData[[#This Row],[Projects_Submitted]]*4</f>
        <v>50.808000000000007</v>
      </c>
      <c r="M170">
        <f>StudentData[[#This Row],[Academic_Score]]*60%+StudentData[[#This Row],[Engagement_Score]]*30%+MIN(StudentData[[#This Row],[Study_Hours_per_Week]],20)/20*100*10%</f>
        <v>31.634800000000006</v>
      </c>
      <c r="N170" s="3" t="str" cm="1">
        <f t="array" ref="N17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70" s="3" t="str">
        <f t="shared" si="4"/>
        <v>High Risk</v>
      </c>
      <c r="P170" s="3" t="str">
        <f t="shared" si="5"/>
        <v>24-25</v>
      </c>
    </row>
    <row r="171" spans="1:16">
      <c r="A171" t="s">
        <v>205</v>
      </c>
      <c r="B171">
        <v>23</v>
      </c>
      <c r="C171" t="s">
        <v>5</v>
      </c>
      <c r="D171">
        <v>90.87</v>
      </c>
      <c r="E171">
        <v>9</v>
      </c>
      <c r="F171">
        <v>0.63</v>
      </c>
      <c r="G171">
        <v>38.51</v>
      </c>
      <c r="H171">
        <v>23.96</v>
      </c>
      <c r="I171">
        <v>10</v>
      </c>
      <c r="J171">
        <v>1</v>
      </c>
      <c r="K171">
        <f>(StudentData[[#This Row],[Midterm_Grade]]*40%)+(StudentData[[#This Row],[Final_Grade]]*60%)</f>
        <v>29.78</v>
      </c>
      <c r="L171">
        <f>StudentData[[#This Row],[Attendance_Percentage]]*40%+StudentData[[#This Row],[Assignments_Completed]]*2+StudentData[[#This Row],[Class_Participation]]*2+StudentData[[#This Row],[Projects_Submitted]]*4</f>
        <v>59.608000000000004</v>
      </c>
      <c r="M171">
        <f>StudentData[[#This Row],[Academic_Score]]*60%+StudentData[[#This Row],[Engagement_Score]]*30%+MIN(StudentData[[#This Row],[Study_Hours_per_Week]],20)/20*100*10%</f>
        <v>40.750399999999999</v>
      </c>
      <c r="N171" s="3" t="str" cm="1">
        <f t="array" ref="N17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71" s="3" t="str">
        <f t="shared" si="4"/>
        <v>Medium Risk</v>
      </c>
      <c r="P171" s="3" t="str">
        <f t="shared" si="5"/>
        <v>21-23</v>
      </c>
    </row>
    <row r="172" spans="1:16">
      <c r="A172" t="s">
        <v>206</v>
      </c>
      <c r="B172">
        <v>25</v>
      </c>
      <c r="C172" t="s">
        <v>5</v>
      </c>
      <c r="D172">
        <v>69.03</v>
      </c>
      <c r="E172">
        <v>6</v>
      </c>
      <c r="F172">
        <v>7.77</v>
      </c>
      <c r="G172">
        <v>85.48</v>
      </c>
      <c r="H172">
        <v>3.24</v>
      </c>
      <c r="I172">
        <v>11</v>
      </c>
      <c r="J172">
        <v>4</v>
      </c>
      <c r="K172">
        <f>(StudentData[[#This Row],[Midterm_Grade]]*40%)+(StudentData[[#This Row],[Final_Grade]]*60%)</f>
        <v>36.136000000000003</v>
      </c>
      <c r="L172">
        <f>StudentData[[#This Row],[Attendance_Percentage]]*40%+StudentData[[#This Row],[Assignments_Completed]]*2+StudentData[[#This Row],[Class_Participation]]*2+StudentData[[#This Row],[Projects_Submitted]]*4</f>
        <v>71.152000000000001</v>
      </c>
      <c r="M172">
        <f>StudentData[[#This Row],[Academic_Score]]*60%+StudentData[[#This Row],[Engagement_Score]]*30%+MIN(StudentData[[#This Row],[Study_Hours_per_Week]],20)/20*100*10%</f>
        <v>48.527200000000001</v>
      </c>
      <c r="N172" s="3" t="str" cm="1">
        <f t="array" ref="N17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72" s="3" t="str">
        <f t="shared" si="4"/>
        <v>Medium Risk</v>
      </c>
      <c r="P172" s="3" t="str">
        <f t="shared" si="5"/>
        <v>24-25</v>
      </c>
    </row>
    <row r="173" spans="1:16">
      <c r="A173" t="s">
        <v>207</v>
      </c>
      <c r="B173">
        <v>22</v>
      </c>
      <c r="C173" t="s">
        <v>4</v>
      </c>
      <c r="D173">
        <v>93.9</v>
      </c>
      <c r="E173">
        <v>9</v>
      </c>
      <c r="F173">
        <v>8.2200000000000006</v>
      </c>
      <c r="G173">
        <v>95.24</v>
      </c>
      <c r="H173">
        <v>33.58</v>
      </c>
      <c r="I173">
        <v>9</v>
      </c>
      <c r="J173">
        <v>5</v>
      </c>
      <c r="K173">
        <f>(StudentData[[#This Row],[Midterm_Grade]]*40%)+(StudentData[[#This Row],[Final_Grade]]*60%)</f>
        <v>58.244</v>
      </c>
      <c r="L173">
        <f>StudentData[[#This Row],[Attendance_Percentage]]*40%+StudentData[[#This Row],[Assignments_Completed]]*2+StudentData[[#This Row],[Class_Participation]]*2+StudentData[[#This Row],[Projects_Submitted]]*4</f>
        <v>92</v>
      </c>
      <c r="M173">
        <f>StudentData[[#This Row],[Academic_Score]]*60%+StudentData[[#This Row],[Engagement_Score]]*30%+MIN(StudentData[[#This Row],[Study_Hours_per_Week]],20)/20*100*10%</f>
        <v>67.046399999999991</v>
      </c>
      <c r="N173" s="3" t="str" cm="1">
        <f t="array" ref="N173">_xlfn.IFS(StudentData[[#This Row],[Success_Score]]&gt;=85,"Exceptional",StudentData[[#This Row],[Success_Score]]&gt;=70,"Strong",StudentData[[#This Row],[Success_Score]]&gt;=55,"Developing",TRUE,"Needs Improvement")</f>
        <v>Developing</v>
      </c>
      <c r="O173" s="3" t="str">
        <f t="shared" si="4"/>
        <v>Medium Risk</v>
      </c>
      <c r="P173" s="3" t="str">
        <f t="shared" si="5"/>
        <v>21-23</v>
      </c>
    </row>
    <row r="174" spans="1:16">
      <c r="A174" t="s">
        <v>208</v>
      </c>
      <c r="B174">
        <v>20</v>
      </c>
      <c r="C174" t="s">
        <v>5</v>
      </c>
      <c r="D174">
        <v>93.4</v>
      </c>
      <c r="E174">
        <v>0</v>
      </c>
      <c r="F174">
        <v>4.62</v>
      </c>
      <c r="G174">
        <v>88.36</v>
      </c>
      <c r="H174">
        <v>51.39</v>
      </c>
      <c r="I174">
        <v>16</v>
      </c>
      <c r="J174">
        <v>4</v>
      </c>
      <c r="K174">
        <f>(StudentData[[#This Row],[Midterm_Grade]]*40%)+(StudentData[[#This Row],[Final_Grade]]*60%)</f>
        <v>66.177999999999997</v>
      </c>
      <c r="L174">
        <f>StudentData[[#This Row],[Attendance_Percentage]]*40%+StudentData[[#This Row],[Assignments_Completed]]*2+StudentData[[#This Row],[Class_Participation]]*2+StudentData[[#This Row],[Projects_Submitted]]*4</f>
        <v>62.600000000000009</v>
      </c>
      <c r="M174">
        <f>StudentData[[#This Row],[Academic_Score]]*60%+StudentData[[#This Row],[Engagement_Score]]*30%+MIN(StudentData[[#This Row],[Study_Hours_per_Week]],20)/20*100*10%</f>
        <v>66.486799999999988</v>
      </c>
      <c r="N174" s="3" t="str" cm="1">
        <f t="array" ref="N174">_xlfn.IFS(StudentData[[#This Row],[Success_Score]]&gt;=85,"Exceptional",StudentData[[#This Row],[Success_Score]]&gt;=70,"Strong",StudentData[[#This Row],[Success_Score]]&gt;=55,"Developing",TRUE,"Needs Improvement")</f>
        <v>Developing</v>
      </c>
      <c r="O174" s="3" t="str">
        <f t="shared" si="4"/>
        <v>Low Risk</v>
      </c>
      <c r="P174" s="3" t="str">
        <f t="shared" si="5"/>
        <v>18-20</v>
      </c>
    </row>
    <row r="175" spans="1:16">
      <c r="A175" t="s">
        <v>209</v>
      </c>
      <c r="B175">
        <v>21</v>
      </c>
      <c r="C175" t="s">
        <v>4</v>
      </c>
      <c r="D175">
        <v>90.3</v>
      </c>
      <c r="E175">
        <v>10</v>
      </c>
      <c r="F175">
        <v>9.83</v>
      </c>
      <c r="G175">
        <v>27.06</v>
      </c>
      <c r="H175">
        <v>79.66</v>
      </c>
      <c r="I175">
        <v>16</v>
      </c>
      <c r="J175">
        <v>1</v>
      </c>
      <c r="K175">
        <f>(StudentData[[#This Row],[Midterm_Grade]]*40%)+(StudentData[[#This Row],[Final_Grade]]*60%)</f>
        <v>58.62</v>
      </c>
      <c r="L175">
        <f>StudentData[[#This Row],[Attendance_Percentage]]*40%+StudentData[[#This Row],[Assignments_Completed]]*2+StudentData[[#This Row],[Class_Participation]]*2+StudentData[[#This Row],[Projects_Submitted]]*4</f>
        <v>79.78</v>
      </c>
      <c r="M175">
        <f>StudentData[[#This Row],[Academic_Score]]*60%+StudentData[[#This Row],[Engagement_Score]]*30%+MIN(StudentData[[#This Row],[Study_Hours_per_Week]],20)/20*100*10%</f>
        <v>67.105999999999995</v>
      </c>
      <c r="N175" s="3" t="str" cm="1">
        <f t="array" ref="N175">_xlfn.IFS(StudentData[[#This Row],[Success_Score]]&gt;=85,"Exceptional",StudentData[[#This Row],[Success_Score]]&gt;=70,"Strong",StudentData[[#This Row],[Success_Score]]&gt;=55,"Developing",TRUE,"Needs Improvement")</f>
        <v>Developing</v>
      </c>
      <c r="O175" s="3" t="str">
        <f t="shared" si="4"/>
        <v>Medium Risk</v>
      </c>
      <c r="P175" s="3" t="str">
        <f t="shared" si="5"/>
        <v>21-23</v>
      </c>
    </row>
    <row r="176" spans="1:16">
      <c r="A176" t="s">
        <v>210</v>
      </c>
      <c r="B176">
        <v>25</v>
      </c>
      <c r="C176" t="s">
        <v>5</v>
      </c>
      <c r="D176">
        <v>89.5</v>
      </c>
      <c r="E176">
        <v>8</v>
      </c>
      <c r="F176">
        <v>7.87</v>
      </c>
      <c r="G176">
        <v>19.420000000000002</v>
      </c>
      <c r="H176">
        <v>33.799999999999997</v>
      </c>
      <c r="I176">
        <v>10</v>
      </c>
      <c r="J176">
        <v>5</v>
      </c>
      <c r="K176">
        <f>(StudentData[[#This Row],[Midterm_Grade]]*40%)+(StudentData[[#This Row],[Final_Grade]]*60%)</f>
        <v>28.047999999999998</v>
      </c>
      <c r="L176">
        <f>StudentData[[#This Row],[Attendance_Percentage]]*40%+StudentData[[#This Row],[Assignments_Completed]]*2+StudentData[[#This Row],[Class_Participation]]*2+StudentData[[#This Row],[Projects_Submitted]]*4</f>
        <v>87.54</v>
      </c>
      <c r="M176">
        <f>StudentData[[#This Row],[Academic_Score]]*60%+StudentData[[#This Row],[Engagement_Score]]*30%+MIN(StudentData[[#This Row],[Study_Hours_per_Week]],20)/20*100*10%</f>
        <v>48.090800000000002</v>
      </c>
      <c r="N176" s="3" t="str" cm="1">
        <f t="array" ref="N17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76" s="3" t="str">
        <f t="shared" si="4"/>
        <v>Medium Risk</v>
      </c>
      <c r="P176" s="3" t="str">
        <f t="shared" si="5"/>
        <v>24-25</v>
      </c>
    </row>
    <row r="177" spans="1:16">
      <c r="A177" t="s">
        <v>211</v>
      </c>
      <c r="B177">
        <v>23</v>
      </c>
      <c r="C177" t="s">
        <v>6</v>
      </c>
      <c r="D177">
        <v>65.23</v>
      </c>
      <c r="E177">
        <v>7</v>
      </c>
      <c r="F177">
        <v>7.74</v>
      </c>
      <c r="G177">
        <v>47.44</v>
      </c>
      <c r="H177">
        <v>70.55</v>
      </c>
      <c r="I177">
        <v>3</v>
      </c>
      <c r="J177">
        <v>0</v>
      </c>
      <c r="K177">
        <f>(StudentData[[#This Row],[Midterm_Grade]]*40%)+(StudentData[[#This Row],[Final_Grade]]*60%)</f>
        <v>61.305999999999997</v>
      </c>
      <c r="L177">
        <f>StudentData[[#This Row],[Attendance_Percentage]]*40%+StudentData[[#This Row],[Assignments_Completed]]*2+StudentData[[#This Row],[Class_Participation]]*2+StudentData[[#This Row],[Projects_Submitted]]*4</f>
        <v>55.572000000000003</v>
      </c>
      <c r="M177">
        <f>StudentData[[#This Row],[Academic_Score]]*60%+StudentData[[#This Row],[Engagement_Score]]*30%+MIN(StudentData[[#This Row],[Study_Hours_per_Week]],20)/20*100*10%</f>
        <v>54.955200000000005</v>
      </c>
      <c r="N177" s="3" t="str" cm="1">
        <f t="array" ref="N17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77" s="3" t="str">
        <f t="shared" si="4"/>
        <v>Medium Risk</v>
      </c>
      <c r="P177" s="3" t="str">
        <f t="shared" si="5"/>
        <v>21-23</v>
      </c>
    </row>
    <row r="178" spans="1:16">
      <c r="A178" t="s">
        <v>212</v>
      </c>
      <c r="B178">
        <v>20</v>
      </c>
      <c r="C178" t="s">
        <v>5</v>
      </c>
      <c r="D178">
        <v>54.05</v>
      </c>
      <c r="E178">
        <v>6</v>
      </c>
      <c r="F178">
        <v>7.48</v>
      </c>
      <c r="G178">
        <v>0.73</v>
      </c>
      <c r="H178">
        <v>18.75</v>
      </c>
      <c r="I178">
        <v>6</v>
      </c>
      <c r="J178">
        <v>5</v>
      </c>
      <c r="K178">
        <f>(StudentData[[#This Row],[Midterm_Grade]]*40%)+(StudentData[[#This Row],[Final_Grade]]*60%)</f>
        <v>11.542</v>
      </c>
      <c r="L178">
        <f>StudentData[[#This Row],[Attendance_Percentage]]*40%+StudentData[[#This Row],[Assignments_Completed]]*2+StudentData[[#This Row],[Class_Participation]]*2+StudentData[[#This Row],[Projects_Submitted]]*4</f>
        <v>68.580000000000013</v>
      </c>
      <c r="M178">
        <f>StudentData[[#This Row],[Academic_Score]]*60%+StudentData[[#This Row],[Engagement_Score]]*30%+MIN(StudentData[[#This Row],[Study_Hours_per_Week]],20)/20*100*10%</f>
        <v>30.499200000000002</v>
      </c>
      <c r="N178" s="3" t="str" cm="1">
        <f t="array" ref="N17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78" s="3" t="str">
        <f t="shared" si="4"/>
        <v>High Risk</v>
      </c>
      <c r="P178" s="3" t="str">
        <f t="shared" si="5"/>
        <v>18-20</v>
      </c>
    </row>
    <row r="179" spans="1:16">
      <c r="A179" t="s">
        <v>213</v>
      </c>
      <c r="B179">
        <v>20</v>
      </c>
      <c r="C179" t="s">
        <v>5</v>
      </c>
      <c r="D179">
        <v>70.150000000000006</v>
      </c>
      <c r="E179">
        <v>9</v>
      </c>
      <c r="F179">
        <v>1.51</v>
      </c>
      <c r="G179">
        <v>2.58</v>
      </c>
      <c r="H179">
        <v>75.06</v>
      </c>
      <c r="I179">
        <v>13</v>
      </c>
      <c r="J179">
        <v>3</v>
      </c>
      <c r="K179">
        <f>(StudentData[[#This Row],[Midterm_Grade]]*40%)+(StudentData[[#This Row],[Final_Grade]]*60%)</f>
        <v>46.067999999999998</v>
      </c>
      <c r="L179">
        <f>StudentData[[#This Row],[Attendance_Percentage]]*40%+StudentData[[#This Row],[Assignments_Completed]]*2+StudentData[[#This Row],[Class_Participation]]*2+StudentData[[#This Row],[Projects_Submitted]]*4</f>
        <v>61.080000000000005</v>
      </c>
      <c r="M179">
        <f>StudentData[[#This Row],[Academic_Score]]*60%+StudentData[[#This Row],[Engagement_Score]]*30%+MIN(StudentData[[#This Row],[Study_Hours_per_Week]],20)/20*100*10%</f>
        <v>52.464799999999997</v>
      </c>
      <c r="N179" s="3" t="str" cm="1">
        <f t="array" ref="N17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79" s="3" t="str">
        <f t="shared" si="4"/>
        <v>Medium Risk</v>
      </c>
      <c r="P179" s="3" t="str">
        <f t="shared" si="5"/>
        <v>18-20</v>
      </c>
    </row>
    <row r="180" spans="1:16">
      <c r="A180" t="s">
        <v>214</v>
      </c>
      <c r="B180">
        <v>18</v>
      </c>
      <c r="C180" t="s">
        <v>6</v>
      </c>
      <c r="D180">
        <v>58.68</v>
      </c>
      <c r="E180">
        <v>6</v>
      </c>
      <c r="F180">
        <v>2.17</v>
      </c>
      <c r="G180">
        <v>55.33</v>
      </c>
      <c r="H180">
        <v>23.6</v>
      </c>
      <c r="I180">
        <v>6</v>
      </c>
      <c r="J180">
        <v>4</v>
      </c>
      <c r="K180">
        <f>(StudentData[[#This Row],[Midterm_Grade]]*40%)+(StudentData[[#This Row],[Final_Grade]]*60%)</f>
        <v>36.292000000000002</v>
      </c>
      <c r="L180">
        <f>StudentData[[#This Row],[Attendance_Percentage]]*40%+StudentData[[#This Row],[Assignments_Completed]]*2+StudentData[[#This Row],[Class_Participation]]*2+StudentData[[#This Row],[Projects_Submitted]]*4</f>
        <v>55.811999999999998</v>
      </c>
      <c r="M180">
        <f>StudentData[[#This Row],[Academic_Score]]*60%+StudentData[[#This Row],[Engagement_Score]]*30%+MIN(StudentData[[#This Row],[Study_Hours_per_Week]],20)/20*100*10%</f>
        <v>41.518799999999999</v>
      </c>
      <c r="N180" s="3" t="str" cm="1">
        <f t="array" ref="N18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80" s="3" t="str">
        <f t="shared" si="4"/>
        <v>High Risk</v>
      </c>
      <c r="P180" s="3" t="str">
        <f t="shared" si="5"/>
        <v>18-20</v>
      </c>
    </row>
    <row r="181" spans="1:16">
      <c r="A181" t="s">
        <v>215</v>
      </c>
      <c r="B181">
        <v>20</v>
      </c>
      <c r="C181" t="s">
        <v>4</v>
      </c>
      <c r="D181">
        <v>84.75</v>
      </c>
      <c r="E181">
        <v>4</v>
      </c>
      <c r="F181">
        <v>4.6399999999999997</v>
      </c>
      <c r="G181">
        <v>52.04</v>
      </c>
      <c r="H181">
        <v>14.35</v>
      </c>
      <c r="I181">
        <v>7</v>
      </c>
      <c r="J181">
        <v>5</v>
      </c>
      <c r="K181">
        <f>(StudentData[[#This Row],[Midterm_Grade]]*40%)+(StudentData[[#This Row],[Final_Grade]]*60%)</f>
        <v>29.426000000000002</v>
      </c>
      <c r="L181">
        <f>StudentData[[#This Row],[Attendance_Percentage]]*40%+StudentData[[#This Row],[Assignments_Completed]]*2+StudentData[[#This Row],[Class_Participation]]*2+StudentData[[#This Row],[Projects_Submitted]]*4</f>
        <v>71.180000000000007</v>
      </c>
      <c r="M181">
        <f>StudentData[[#This Row],[Academic_Score]]*60%+StudentData[[#This Row],[Engagement_Score]]*30%+MIN(StudentData[[#This Row],[Study_Hours_per_Week]],20)/20*100*10%</f>
        <v>42.509600000000006</v>
      </c>
      <c r="N181" s="3" t="str" cm="1">
        <f t="array" ref="N18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81" s="3" t="str">
        <f t="shared" si="4"/>
        <v>Medium Risk</v>
      </c>
      <c r="P181" s="3" t="str">
        <f t="shared" si="5"/>
        <v>18-20</v>
      </c>
    </row>
    <row r="182" spans="1:16">
      <c r="A182" t="s">
        <v>216</v>
      </c>
      <c r="B182">
        <v>22</v>
      </c>
      <c r="C182" t="s">
        <v>4</v>
      </c>
      <c r="D182">
        <v>67.3</v>
      </c>
      <c r="E182">
        <v>4</v>
      </c>
      <c r="F182">
        <v>2.64</v>
      </c>
      <c r="G182">
        <v>99.46</v>
      </c>
      <c r="H182">
        <v>18.54</v>
      </c>
      <c r="I182">
        <v>0</v>
      </c>
      <c r="J182">
        <v>3</v>
      </c>
      <c r="K182">
        <f>(StudentData[[#This Row],[Midterm_Grade]]*40%)+(StudentData[[#This Row],[Final_Grade]]*60%)</f>
        <v>50.908000000000001</v>
      </c>
      <c r="L182">
        <f>StudentData[[#This Row],[Attendance_Percentage]]*40%+StudentData[[#This Row],[Assignments_Completed]]*2+StudentData[[#This Row],[Class_Participation]]*2+StudentData[[#This Row],[Projects_Submitted]]*4</f>
        <v>52.2</v>
      </c>
      <c r="M182">
        <f>StudentData[[#This Row],[Academic_Score]]*60%+StudentData[[#This Row],[Engagement_Score]]*30%+MIN(StudentData[[#This Row],[Study_Hours_per_Week]],20)/20*100*10%</f>
        <v>46.204799999999999</v>
      </c>
      <c r="N182" s="3" t="str" cm="1">
        <f t="array" ref="N18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82" s="3" t="str">
        <f t="shared" si="4"/>
        <v>Medium Risk</v>
      </c>
      <c r="P182" s="3" t="str">
        <f t="shared" si="5"/>
        <v>21-23</v>
      </c>
    </row>
    <row r="183" spans="1:16">
      <c r="A183" t="s">
        <v>217</v>
      </c>
      <c r="B183">
        <v>24</v>
      </c>
      <c r="C183" t="s">
        <v>5</v>
      </c>
      <c r="D183">
        <v>98.78</v>
      </c>
      <c r="E183">
        <v>10</v>
      </c>
      <c r="F183">
        <v>4.1500000000000004</v>
      </c>
      <c r="G183">
        <v>20.18</v>
      </c>
      <c r="H183">
        <v>18.21</v>
      </c>
      <c r="I183">
        <v>3</v>
      </c>
      <c r="J183">
        <v>1</v>
      </c>
      <c r="K183">
        <f>(StudentData[[#This Row],[Midterm_Grade]]*40%)+(StudentData[[#This Row],[Final_Grade]]*60%)</f>
        <v>18.998000000000001</v>
      </c>
      <c r="L183">
        <f>StudentData[[#This Row],[Attendance_Percentage]]*40%+StudentData[[#This Row],[Assignments_Completed]]*2+StudentData[[#This Row],[Class_Participation]]*2+StudentData[[#This Row],[Projects_Submitted]]*4</f>
        <v>71.811999999999998</v>
      </c>
      <c r="M183">
        <f>StudentData[[#This Row],[Academic_Score]]*60%+StudentData[[#This Row],[Engagement_Score]]*30%+MIN(StudentData[[#This Row],[Study_Hours_per_Week]],20)/20*100*10%</f>
        <v>34.442399999999999</v>
      </c>
      <c r="N183" s="3" t="str" cm="1">
        <f t="array" ref="N18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83" s="3" t="str">
        <f t="shared" si="4"/>
        <v>Medium Risk</v>
      </c>
      <c r="P183" s="3" t="str">
        <f t="shared" si="5"/>
        <v>24-25</v>
      </c>
    </row>
    <row r="184" spans="1:16">
      <c r="A184" t="s">
        <v>218</v>
      </c>
      <c r="B184">
        <v>23</v>
      </c>
      <c r="C184" t="s">
        <v>5</v>
      </c>
      <c r="D184">
        <v>82.05</v>
      </c>
      <c r="E184">
        <v>4</v>
      </c>
      <c r="F184">
        <v>8.8800000000000008</v>
      </c>
      <c r="G184">
        <v>25.81</v>
      </c>
      <c r="H184">
        <v>51.29</v>
      </c>
      <c r="I184">
        <v>11</v>
      </c>
      <c r="J184">
        <v>5</v>
      </c>
      <c r="K184">
        <f>(StudentData[[#This Row],[Midterm_Grade]]*40%)+(StudentData[[#This Row],[Final_Grade]]*60%)</f>
        <v>41.097999999999999</v>
      </c>
      <c r="L184">
        <f>StudentData[[#This Row],[Attendance_Percentage]]*40%+StudentData[[#This Row],[Assignments_Completed]]*2+StudentData[[#This Row],[Class_Participation]]*2+StudentData[[#This Row],[Projects_Submitted]]*4</f>
        <v>78.58</v>
      </c>
      <c r="M184">
        <f>StudentData[[#This Row],[Academic_Score]]*60%+StudentData[[#This Row],[Engagement_Score]]*30%+MIN(StudentData[[#This Row],[Study_Hours_per_Week]],20)/20*100*10%</f>
        <v>53.732799999999997</v>
      </c>
      <c r="N184" s="3" t="str" cm="1">
        <f t="array" ref="N18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84" s="3" t="str">
        <f t="shared" si="4"/>
        <v>Medium Risk</v>
      </c>
      <c r="P184" s="3" t="str">
        <f t="shared" si="5"/>
        <v>21-23</v>
      </c>
    </row>
    <row r="185" spans="1:16">
      <c r="A185" t="s">
        <v>219</v>
      </c>
      <c r="B185">
        <v>20</v>
      </c>
      <c r="C185" t="s">
        <v>4</v>
      </c>
      <c r="D185">
        <v>91.12</v>
      </c>
      <c r="E185">
        <v>0</v>
      </c>
      <c r="F185">
        <v>8.24</v>
      </c>
      <c r="G185">
        <v>11.35</v>
      </c>
      <c r="H185">
        <v>84.48</v>
      </c>
      <c r="I185">
        <v>2</v>
      </c>
      <c r="J185">
        <v>3</v>
      </c>
      <c r="K185">
        <f>(StudentData[[#This Row],[Midterm_Grade]]*40%)+(StudentData[[#This Row],[Final_Grade]]*60%)</f>
        <v>55.228000000000002</v>
      </c>
      <c r="L185">
        <f>StudentData[[#This Row],[Attendance_Percentage]]*40%+StudentData[[#This Row],[Assignments_Completed]]*2+StudentData[[#This Row],[Class_Participation]]*2+StudentData[[#This Row],[Projects_Submitted]]*4</f>
        <v>64.927999999999997</v>
      </c>
      <c r="M185">
        <f>StudentData[[#This Row],[Academic_Score]]*60%+StudentData[[#This Row],[Engagement_Score]]*30%+MIN(StudentData[[#This Row],[Study_Hours_per_Week]],20)/20*100*10%</f>
        <v>53.615200000000002</v>
      </c>
      <c r="N185" s="3" t="str" cm="1">
        <f t="array" ref="N18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85" s="3" t="str">
        <f t="shared" si="4"/>
        <v>Medium Risk</v>
      </c>
      <c r="P185" s="3" t="str">
        <f t="shared" si="5"/>
        <v>18-20</v>
      </c>
    </row>
    <row r="186" spans="1:16">
      <c r="A186" t="s">
        <v>220</v>
      </c>
      <c r="B186">
        <v>18</v>
      </c>
      <c r="C186" t="s">
        <v>6</v>
      </c>
      <c r="D186">
        <v>56.63</v>
      </c>
      <c r="E186">
        <v>7</v>
      </c>
      <c r="F186">
        <v>6.3</v>
      </c>
      <c r="G186">
        <v>91.75</v>
      </c>
      <c r="H186">
        <v>7.96</v>
      </c>
      <c r="I186">
        <v>12</v>
      </c>
      <c r="J186">
        <v>1</v>
      </c>
      <c r="K186">
        <f>(StudentData[[#This Row],[Midterm_Grade]]*40%)+(StudentData[[#This Row],[Final_Grade]]*60%)</f>
        <v>41.475999999999999</v>
      </c>
      <c r="L186">
        <f>StudentData[[#This Row],[Attendance_Percentage]]*40%+StudentData[[#This Row],[Assignments_Completed]]*2+StudentData[[#This Row],[Class_Participation]]*2+StudentData[[#This Row],[Projects_Submitted]]*4</f>
        <v>53.252000000000002</v>
      </c>
      <c r="M186">
        <f>StudentData[[#This Row],[Academic_Score]]*60%+StudentData[[#This Row],[Engagement_Score]]*30%+MIN(StudentData[[#This Row],[Study_Hours_per_Week]],20)/20*100*10%</f>
        <v>46.861199999999997</v>
      </c>
      <c r="N186" s="3" t="str" cm="1">
        <f t="array" ref="N18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86" s="3" t="str">
        <f t="shared" si="4"/>
        <v>High Risk</v>
      </c>
      <c r="P186" s="3" t="str">
        <f t="shared" si="5"/>
        <v>18-20</v>
      </c>
    </row>
    <row r="187" spans="1:16">
      <c r="A187" t="s">
        <v>221</v>
      </c>
      <c r="B187">
        <v>22</v>
      </c>
      <c r="C187" t="s">
        <v>4</v>
      </c>
      <c r="D187">
        <v>93.1</v>
      </c>
      <c r="E187">
        <v>10</v>
      </c>
      <c r="F187">
        <v>8.58</v>
      </c>
      <c r="G187">
        <v>77.78</v>
      </c>
      <c r="H187">
        <v>70.7</v>
      </c>
      <c r="I187">
        <v>19</v>
      </c>
      <c r="J187">
        <v>0</v>
      </c>
      <c r="K187">
        <f>(StudentData[[#This Row],[Midterm_Grade]]*40%)+(StudentData[[#This Row],[Final_Grade]]*60%)</f>
        <v>73.532000000000011</v>
      </c>
      <c r="L187">
        <f>StudentData[[#This Row],[Attendance_Percentage]]*40%+StudentData[[#This Row],[Assignments_Completed]]*2+StudentData[[#This Row],[Class_Participation]]*2+StudentData[[#This Row],[Projects_Submitted]]*4</f>
        <v>74.400000000000006</v>
      </c>
      <c r="M187">
        <f>StudentData[[#This Row],[Academic_Score]]*60%+StudentData[[#This Row],[Engagement_Score]]*30%+MIN(StudentData[[#This Row],[Study_Hours_per_Week]],20)/20*100*10%</f>
        <v>75.9392</v>
      </c>
      <c r="N187" s="3" t="str" cm="1">
        <f t="array" ref="N187">_xlfn.IFS(StudentData[[#This Row],[Success_Score]]&gt;=85,"Exceptional",StudentData[[#This Row],[Success_Score]]&gt;=70,"Strong",StudentData[[#This Row],[Success_Score]]&gt;=55,"Developing",TRUE,"Needs Improvement")</f>
        <v>Strong</v>
      </c>
      <c r="O187" s="3" t="str">
        <f t="shared" si="4"/>
        <v>Low Risk</v>
      </c>
      <c r="P187" s="3" t="str">
        <f t="shared" si="5"/>
        <v>21-23</v>
      </c>
    </row>
    <row r="188" spans="1:16">
      <c r="A188" t="s">
        <v>222</v>
      </c>
      <c r="B188">
        <v>19</v>
      </c>
      <c r="C188" t="s">
        <v>4</v>
      </c>
      <c r="D188">
        <v>96.14</v>
      </c>
      <c r="E188">
        <v>0</v>
      </c>
      <c r="F188">
        <v>7.84</v>
      </c>
      <c r="G188">
        <v>82.23</v>
      </c>
      <c r="H188">
        <v>65.430000000000007</v>
      </c>
      <c r="I188">
        <v>5</v>
      </c>
      <c r="J188">
        <v>1</v>
      </c>
      <c r="K188">
        <f>(StudentData[[#This Row],[Midterm_Grade]]*40%)+(StudentData[[#This Row],[Final_Grade]]*60%)</f>
        <v>72.150000000000006</v>
      </c>
      <c r="L188">
        <f>StudentData[[#This Row],[Attendance_Percentage]]*40%+StudentData[[#This Row],[Assignments_Completed]]*2+StudentData[[#This Row],[Class_Participation]]*2+StudentData[[#This Row],[Projects_Submitted]]*4</f>
        <v>58.136000000000003</v>
      </c>
      <c r="M188">
        <f>StudentData[[#This Row],[Academic_Score]]*60%+StudentData[[#This Row],[Engagement_Score]]*30%+MIN(StudentData[[#This Row],[Study_Hours_per_Week]],20)/20*100*10%</f>
        <v>63.230800000000002</v>
      </c>
      <c r="N188" s="3" t="str" cm="1">
        <f t="array" ref="N188">_xlfn.IFS(StudentData[[#This Row],[Success_Score]]&gt;=85,"Exceptional",StudentData[[#This Row],[Success_Score]]&gt;=70,"Strong",StudentData[[#This Row],[Success_Score]]&gt;=55,"Developing",TRUE,"Needs Improvement")</f>
        <v>Developing</v>
      </c>
      <c r="O188" s="3" t="str">
        <f t="shared" si="4"/>
        <v>Low Risk</v>
      </c>
      <c r="P188" s="3" t="str">
        <f t="shared" si="5"/>
        <v>18-20</v>
      </c>
    </row>
    <row r="189" spans="1:16">
      <c r="A189" t="s">
        <v>223</v>
      </c>
      <c r="B189">
        <v>24</v>
      </c>
      <c r="C189" t="s">
        <v>5</v>
      </c>
      <c r="D189">
        <v>74.349999999999994</v>
      </c>
      <c r="E189">
        <v>3</v>
      </c>
      <c r="F189">
        <v>4.29</v>
      </c>
      <c r="G189">
        <v>90.28</v>
      </c>
      <c r="H189">
        <v>87.25</v>
      </c>
      <c r="I189">
        <v>10</v>
      </c>
      <c r="J189">
        <v>1</v>
      </c>
      <c r="K189">
        <f>(StudentData[[#This Row],[Midterm_Grade]]*40%)+(StudentData[[#This Row],[Final_Grade]]*60%)</f>
        <v>88.462000000000003</v>
      </c>
      <c r="L189">
        <f>StudentData[[#This Row],[Attendance_Percentage]]*40%+StudentData[[#This Row],[Assignments_Completed]]*2+StudentData[[#This Row],[Class_Participation]]*2+StudentData[[#This Row],[Projects_Submitted]]*4</f>
        <v>48.319999999999993</v>
      </c>
      <c r="M189">
        <f>StudentData[[#This Row],[Academic_Score]]*60%+StudentData[[#This Row],[Engagement_Score]]*30%+MIN(StudentData[[#This Row],[Study_Hours_per_Week]],20)/20*100*10%</f>
        <v>72.5732</v>
      </c>
      <c r="N189" s="3" t="str" cm="1">
        <f t="array" ref="N189">_xlfn.IFS(StudentData[[#This Row],[Success_Score]]&gt;=85,"Exceptional",StudentData[[#This Row],[Success_Score]]&gt;=70,"Strong",StudentData[[#This Row],[Success_Score]]&gt;=55,"Developing",TRUE,"Needs Improvement")</f>
        <v>Strong</v>
      </c>
      <c r="O189" s="3" t="str">
        <f t="shared" si="4"/>
        <v>Low Risk</v>
      </c>
      <c r="P189" s="3" t="str">
        <f t="shared" si="5"/>
        <v>24-25</v>
      </c>
    </row>
    <row r="190" spans="1:16">
      <c r="A190" t="s">
        <v>224</v>
      </c>
      <c r="B190">
        <v>24</v>
      </c>
      <c r="C190" t="s">
        <v>4</v>
      </c>
      <c r="D190">
        <v>80.31</v>
      </c>
      <c r="E190">
        <v>8</v>
      </c>
      <c r="F190">
        <v>2.0099999999999998</v>
      </c>
      <c r="G190">
        <v>52.49</v>
      </c>
      <c r="H190">
        <v>24.41</v>
      </c>
      <c r="I190">
        <v>3</v>
      </c>
      <c r="J190">
        <v>4</v>
      </c>
      <c r="K190">
        <f>(StudentData[[#This Row],[Midterm_Grade]]*40%)+(StudentData[[#This Row],[Final_Grade]]*60%)</f>
        <v>35.642000000000003</v>
      </c>
      <c r="L190">
        <f>StudentData[[#This Row],[Attendance_Percentage]]*40%+StudentData[[#This Row],[Assignments_Completed]]*2+StudentData[[#This Row],[Class_Participation]]*2+StudentData[[#This Row],[Projects_Submitted]]*4</f>
        <v>68.144000000000005</v>
      </c>
      <c r="M190">
        <f>StudentData[[#This Row],[Academic_Score]]*60%+StudentData[[#This Row],[Engagement_Score]]*30%+MIN(StudentData[[#This Row],[Study_Hours_per_Week]],20)/20*100*10%</f>
        <v>43.328400000000002</v>
      </c>
      <c r="N190" s="3" t="str" cm="1">
        <f t="array" ref="N19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90" s="3" t="str">
        <f t="shared" si="4"/>
        <v>Medium Risk</v>
      </c>
      <c r="P190" s="3" t="str">
        <f t="shared" si="5"/>
        <v>24-25</v>
      </c>
    </row>
    <row r="191" spans="1:16">
      <c r="A191" t="s">
        <v>225</v>
      </c>
      <c r="B191">
        <v>23</v>
      </c>
      <c r="C191" t="s">
        <v>5</v>
      </c>
      <c r="D191">
        <v>88.24</v>
      </c>
      <c r="E191">
        <v>8</v>
      </c>
      <c r="F191">
        <v>5.14</v>
      </c>
      <c r="G191">
        <v>45.12</v>
      </c>
      <c r="H191">
        <v>45.01</v>
      </c>
      <c r="I191">
        <v>19</v>
      </c>
      <c r="J191">
        <v>3</v>
      </c>
      <c r="K191">
        <f>(StudentData[[#This Row],[Midterm_Grade]]*40%)+(StudentData[[#This Row],[Final_Grade]]*60%)</f>
        <v>45.053999999999995</v>
      </c>
      <c r="L191">
        <f>StudentData[[#This Row],[Attendance_Percentage]]*40%+StudentData[[#This Row],[Assignments_Completed]]*2+StudentData[[#This Row],[Class_Participation]]*2+StudentData[[#This Row],[Projects_Submitted]]*4</f>
        <v>73.575999999999993</v>
      </c>
      <c r="M191">
        <f>StudentData[[#This Row],[Academic_Score]]*60%+StudentData[[#This Row],[Engagement_Score]]*30%+MIN(StudentData[[#This Row],[Study_Hours_per_Week]],20)/20*100*10%</f>
        <v>58.605199999999996</v>
      </c>
      <c r="N191" s="3" t="str" cm="1">
        <f t="array" ref="N191">_xlfn.IFS(StudentData[[#This Row],[Success_Score]]&gt;=85,"Exceptional",StudentData[[#This Row],[Success_Score]]&gt;=70,"Strong",StudentData[[#This Row],[Success_Score]]&gt;=55,"Developing",TRUE,"Needs Improvement")</f>
        <v>Developing</v>
      </c>
      <c r="O191" s="3" t="str">
        <f t="shared" si="4"/>
        <v>Medium Risk</v>
      </c>
      <c r="P191" s="3" t="str">
        <f t="shared" si="5"/>
        <v>21-23</v>
      </c>
    </row>
    <row r="192" spans="1:16">
      <c r="A192" t="s">
        <v>226</v>
      </c>
      <c r="B192">
        <v>24</v>
      </c>
      <c r="C192" t="s">
        <v>5</v>
      </c>
      <c r="D192">
        <v>58.74</v>
      </c>
      <c r="E192">
        <v>4</v>
      </c>
      <c r="F192">
        <v>7.36</v>
      </c>
      <c r="G192">
        <v>33.04</v>
      </c>
      <c r="H192">
        <v>92.58</v>
      </c>
      <c r="I192">
        <v>15</v>
      </c>
      <c r="J192">
        <v>5</v>
      </c>
      <c r="K192">
        <f>(StudentData[[#This Row],[Midterm_Grade]]*40%)+(StudentData[[#This Row],[Final_Grade]]*60%)</f>
        <v>68.763999999999996</v>
      </c>
      <c r="L192">
        <f>StudentData[[#This Row],[Attendance_Percentage]]*40%+StudentData[[#This Row],[Assignments_Completed]]*2+StudentData[[#This Row],[Class_Participation]]*2+StudentData[[#This Row],[Projects_Submitted]]*4</f>
        <v>66.216000000000008</v>
      </c>
      <c r="M192">
        <f>StudentData[[#This Row],[Academic_Score]]*60%+StudentData[[#This Row],[Engagement_Score]]*30%+MIN(StudentData[[#This Row],[Study_Hours_per_Week]],20)/20*100*10%</f>
        <v>68.623199999999997</v>
      </c>
      <c r="N192" s="3" t="str" cm="1">
        <f t="array" ref="N192">_xlfn.IFS(StudentData[[#This Row],[Success_Score]]&gt;=85,"Exceptional",StudentData[[#This Row],[Success_Score]]&gt;=70,"Strong",StudentData[[#This Row],[Success_Score]]&gt;=55,"Developing",TRUE,"Needs Improvement")</f>
        <v>Developing</v>
      </c>
      <c r="O192" s="3" t="str">
        <f t="shared" si="4"/>
        <v>Medium Risk</v>
      </c>
      <c r="P192" s="3" t="str">
        <f t="shared" si="5"/>
        <v>24-25</v>
      </c>
    </row>
    <row r="193" spans="1:16">
      <c r="A193" t="s">
        <v>227</v>
      </c>
      <c r="B193">
        <v>20</v>
      </c>
      <c r="C193" t="s">
        <v>5</v>
      </c>
      <c r="D193">
        <v>75.13</v>
      </c>
      <c r="E193">
        <v>3</v>
      </c>
      <c r="F193">
        <v>4.3600000000000003</v>
      </c>
      <c r="G193">
        <v>58.92</v>
      </c>
      <c r="H193">
        <v>66</v>
      </c>
      <c r="I193">
        <v>6</v>
      </c>
      <c r="J193">
        <v>4</v>
      </c>
      <c r="K193">
        <f>(StudentData[[#This Row],[Midterm_Grade]]*40%)+(StudentData[[#This Row],[Final_Grade]]*60%)</f>
        <v>63.168000000000006</v>
      </c>
      <c r="L193">
        <f>StudentData[[#This Row],[Attendance_Percentage]]*40%+StudentData[[#This Row],[Assignments_Completed]]*2+StudentData[[#This Row],[Class_Participation]]*2+StudentData[[#This Row],[Projects_Submitted]]*4</f>
        <v>60.771999999999998</v>
      </c>
      <c r="M193">
        <f>StudentData[[#This Row],[Academic_Score]]*60%+StudentData[[#This Row],[Engagement_Score]]*30%+MIN(StudentData[[#This Row],[Study_Hours_per_Week]],20)/20*100*10%</f>
        <v>59.132400000000004</v>
      </c>
      <c r="N193" s="3" t="str" cm="1">
        <f t="array" ref="N193">_xlfn.IFS(StudentData[[#This Row],[Success_Score]]&gt;=85,"Exceptional",StudentData[[#This Row],[Success_Score]]&gt;=70,"Strong",StudentData[[#This Row],[Success_Score]]&gt;=55,"Developing",TRUE,"Needs Improvement")</f>
        <v>Developing</v>
      </c>
      <c r="O193" s="3" t="str">
        <f t="shared" si="4"/>
        <v>Low Risk</v>
      </c>
      <c r="P193" s="3" t="str">
        <f t="shared" si="5"/>
        <v>18-20</v>
      </c>
    </row>
    <row r="194" spans="1:16">
      <c r="A194" t="s">
        <v>228</v>
      </c>
      <c r="B194">
        <v>18</v>
      </c>
      <c r="C194" t="s">
        <v>4</v>
      </c>
      <c r="D194">
        <v>69.930000000000007</v>
      </c>
      <c r="E194">
        <v>2</v>
      </c>
      <c r="F194">
        <v>6.67</v>
      </c>
      <c r="G194">
        <v>45.43</v>
      </c>
      <c r="H194">
        <v>38.880000000000003</v>
      </c>
      <c r="I194">
        <v>10</v>
      </c>
      <c r="J194">
        <v>2</v>
      </c>
      <c r="K194">
        <f>(StudentData[[#This Row],[Midterm_Grade]]*40%)+(StudentData[[#This Row],[Final_Grade]]*60%)</f>
        <v>41.5</v>
      </c>
      <c r="L194">
        <f>StudentData[[#This Row],[Attendance_Percentage]]*40%+StudentData[[#This Row],[Assignments_Completed]]*2+StudentData[[#This Row],[Class_Participation]]*2+StudentData[[#This Row],[Projects_Submitted]]*4</f>
        <v>53.312000000000005</v>
      </c>
      <c r="M194">
        <f>StudentData[[#This Row],[Academic_Score]]*60%+StudentData[[#This Row],[Engagement_Score]]*30%+MIN(StudentData[[#This Row],[Study_Hours_per_Week]],20)/20*100*10%</f>
        <v>45.893599999999999</v>
      </c>
      <c r="N194" s="3" t="str" cm="1">
        <f t="array" ref="N19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94" s="3" t="str">
        <f t="shared" ref="O194:O257" si="6">IF(AND(D194&lt;60,K194&lt;50),"High Risk",IF(OR(D194&lt;70,K194&lt;60),"Medium Risk","Low Risk"))</f>
        <v>Medium Risk</v>
      </c>
      <c r="P194" s="3" t="str">
        <f t="shared" ref="P194:P257" si="7">IF(B194&lt;=20,"18-20",IF(B194&lt;=23,"21-23","24-25"))</f>
        <v>18-20</v>
      </c>
    </row>
    <row r="195" spans="1:16">
      <c r="A195" t="s">
        <v>229</v>
      </c>
      <c r="B195">
        <v>24</v>
      </c>
      <c r="C195" t="s">
        <v>5</v>
      </c>
      <c r="D195">
        <v>57.32</v>
      </c>
      <c r="E195">
        <v>2</v>
      </c>
      <c r="F195">
        <v>0.94</v>
      </c>
      <c r="G195">
        <v>45.16</v>
      </c>
      <c r="H195">
        <v>13.14</v>
      </c>
      <c r="I195">
        <v>0</v>
      </c>
      <c r="J195">
        <v>1</v>
      </c>
      <c r="K195">
        <f>(StudentData[[#This Row],[Midterm_Grade]]*40%)+(StudentData[[#This Row],[Final_Grade]]*60%)</f>
        <v>25.948</v>
      </c>
      <c r="L195">
        <f>StudentData[[#This Row],[Attendance_Percentage]]*40%+StudentData[[#This Row],[Assignments_Completed]]*2+StudentData[[#This Row],[Class_Participation]]*2+StudentData[[#This Row],[Projects_Submitted]]*4</f>
        <v>32.808</v>
      </c>
      <c r="M195">
        <f>StudentData[[#This Row],[Academic_Score]]*60%+StudentData[[#This Row],[Engagement_Score]]*30%+MIN(StudentData[[#This Row],[Study_Hours_per_Week]],20)/20*100*10%</f>
        <v>25.411200000000001</v>
      </c>
      <c r="N195" s="3" t="str" cm="1">
        <f t="array" ref="N19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95" s="3" t="str">
        <f t="shared" si="6"/>
        <v>High Risk</v>
      </c>
      <c r="P195" s="3" t="str">
        <f t="shared" si="7"/>
        <v>24-25</v>
      </c>
    </row>
    <row r="196" spans="1:16">
      <c r="A196" t="s">
        <v>230</v>
      </c>
      <c r="B196">
        <v>24</v>
      </c>
      <c r="C196" t="s">
        <v>5</v>
      </c>
      <c r="D196">
        <v>68.38</v>
      </c>
      <c r="E196">
        <v>4</v>
      </c>
      <c r="F196">
        <v>7.48</v>
      </c>
      <c r="G196">
        <v>93.69</v>
      </c>
      <c r="H196">
        <v>26.25</v>
      </c>
      <c r="I196">
        <v>6</v>
      </c>
      <c r="J196">
        <v>2</v>
      </c>
      <c r="K196">
        <f>(StudentData[[#This Row],[Midterm_Grade]]*40%)+(StudentData[[#This Row],[Final_Grade]]*60%)</f>
        <v>53.225999999999999</v>
      </c>
      <c r="L196">
        <f>StudentData[[#This Row],[Attendance_Percentage]]*40%+StudentData[[#This Row],[Assignments_Completed]]*2+StudentData[[#This Row],[Class_Participation]]*2+StudentData[[#This Row],[Projects_Submitted]]*4</f>
        <v>58.312000000000005</v>
      </c>
      <c r="M196">
        <f>StudentData[[#This Row],[Academic_Score]]*60%+StudentData[[#This Row],[Engagement_Score]]*30%+MIN(StudentData[[#This Row],[Study_Hours_per_Week]],20)/20*100*10%</f>
        <v>52.429199999999994</v>
      </c>
      <c r="N196" s="3" t="str" cm="1">
        <f t="array" ref="N19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96" s="3" t="str">
        <f t="shared" si="6"/>
        <v>Medium Risk</v>
      </c>
      <c r="P196" s="3" t="str">
        <f t="shared" si="7"/>
        <v>24-25</v>
      </c>
    </row>
    <row r="197" spans="1:16">
      <c r="A197" t="s">
        <v>231</v>
      </c>
      <c r="B197">
        <v>19</v>
      </c>
      <c r="C197" t="s">
        <v>4</v>
      </c>
      <c r="D197">
        <v>53.41</v>
      </c>
      <c r="E197">
        <v>9</v>
      </c>
      <c r="F197">
        <v>8.1300000000000008</v>
      </c>
      <c r="G197">
        <v>98.4</v>
      </c>
      <c r="H197">
        <v>58.12</v>
      </c>
      <c r="I197">
        <v>11</v>
      </c>
      <c r="J197">
        <v>4</v>
      </c>
      <c r="K197">
        <f>(StudentData[[#This Row],[Midterm_Grade]]*40%)+(StudentData[[#This Row],[Final_Grade]]*60%)</f>
        <v>74.231999999999999</v>
      </c>
      <c r="L197">
        <f>StudentData[[#This Row],[Attendance_Percentage]]*40%+StudentData[[#This Row],[Assignments_Completed]]*2+StudentData[[#This Row],[Class_Participation]]*2+StudentData[[#This Row],[Projects_Submitted]]*4</f>
        <v>71.624000000000009</v>
      </c>
      <c r="M197">
        <f>StudentData[[#This Row],[Academic_Score]]*60%+StudentData[[#This Row],[Engagement_Score]]*30%+MIN(StudentData[[#This Row],[Study_Hours_per_Week]],20)/20*100*10%</f>
        <v>71.526399999999995</v>
      </c>
      <c r="N197" s="3" t="str" cm="1">
        <f t="array" ref="N197">_xlfn.IFS(StudentData[[#This Row],[Success_Score]]&gt;=85,"Exceptional",StudentData[[#This Row],[Success_Score]]&gt;=70,"Strong",StudentData[[#This Row],[Success_Score]]&gt;=55,"Developing",TRUE,"Needs Improvement")</f>
        <v>Strong</v>
      </c>
      <c r="O197" s="3" t="str">
        <f t="shared" si="6"/>
        <v>Medium Risk</v>
      </c>
      <c r="P197" s="3" t="str">
        <f t="shared" si="7"/>
        <v>18-20</v>
      </c>
    </row>
    <row r="198" spans="1:16">
      <c r="A198" t="s">
        <v>232</v>
      </c>
      <c r="B198">
        <v>19</v>
      </c>
      <c r="C198" t="s">
        <v>5</v>
      </c>
      <c r="D198">
        <v>51.29</v>
      </c>
      <c r="E198">
        <v>0</v>
      </c>
      <c r="F198">
        <v>7.07</v>
      </c>
      <c r="G198">
        <v>79.650000000000006</v>
      </c>
      <c r="H198">
        <v>71.819999999999993</v>
      </c>
      <c r="I198">
        <v>6</v>
      </c>
      <c r="J198">
        <v>3</v>
      </c>
      <c r="K198">
        <f>(StudentData[[#This Row],[Midterm_Grade]]*40%)+(StudentData[[#This Row],[Final_Grade]]*60%)</f>
        <v>74.951999999999998</v>
      </c>
      <c r="L198">
        <f>StudentData[[#This Row],[Attendance_Percentage]]*40%+StudentData[[#This Row],[Assignments_Completed]]*2+StudentData[[#This Row],[Class_Participation]]*2+StudentData[[#This Row],[Projects_Submitted]]*4</f>
        <v>46.656000000000006</v>
      </c>
      <c r="M198">
        <f>StudentData[[#This Row],[Academic_Score]]*60%+StudentData[[#This Row],[Engagement_Score]]*30%+MIN(StudentData[[#This Row],[Study_Hours_per_Week]],20)/20*100*10%</f>
        <v>61.967999999999996</v>
      </c>
      <c r="N198" s="3" t="str" cm="1">
        <f t="array" ref="N198">_xlfn.IFS(StudentData[[#This Row],[Success_Score]]&gt;=85,"Exceptional",StudentData[[#This Row],[Success_Score]]&gt;=70,"Strong",StudentData[[#This Row],[Success_Score]]&gt;=55,"Developing",TRUE,"Needs Improvement")</f>
        <v>Developing</v>
      </c>
      <c r="O198" s="3" t="str">
        <f t="shared" si="6"/>
        <v>Medium Risk</v>
      </c>
      <c r="P198" s="3" t="str">
        <f t="shared" si="7"/>
        <v>18-20</v>
      </c>
    </row>
    <row r="199" spans="1:16">
      <c r="A199" t="s">
        <v>233</v>
      </c>
      <c r="B199">
        <v>21</v>
      </c>
      <c r="C199" t="s">
        <v>4</v>
      </c>
      <c r="D199">
        <v>56.76</v>
      </c>
      <c r="E199">
        <v>4</v>
      </c>
      <c r="F199">
        <v>9.67</v>
      </c>
      <c r="G199">
        <v>75.680000000000007</v>
      </c>
      <c r="H199">
        <v>12.44</v>
      </c>
      <c r="I199">
        <v>6</v>
      </c>
      <c r="J199">
        <v>4</v>
      </c>
      <c r="K199">
        <f>(StudentData[[#This Row],[Midterm_Grade]]*40%)+(StudentData[[#This Row],[Final_Grade]]*60%)</f>
        <v>37.736000000000004</v>
      </c>
      <c r="L199">
        <f>StudentData[[#This Row],[Attendance_Percentage]]*40%+StudentData[[#This Row],[Assignments_Completed]]*2+StudentData[[#This Row],[Class_Participation]]*2+StudentData[[#This Row],[Projects_Submitted]]*4</f>
        <v>66.043999999999997</v>
      </c>
      <c r="M199">
        <f>StudentData[[#This Row],[Academic_Score]]*60%+StudentData[[#This Row],[Engagement_Score]]*30%+MIN(StudentData[[#This Row],[Study_Hours_per_Week]],20)/20*100*10%</f>
        <v>45.454799999999999</v>
      </c>
      <c r="N199" s="3" t="str" cm="1">
        <f t="array" ref="N19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99" s="3" t="str">
        <f t="shared" si="6"/>
        <v>High Risk</v>
      </c>
      <c r="P199" s="3" t="str">
        <f t="shared" si="7"/>
        <v>21-23</v>
      </c>
    </row>
    <row r="200" spans="1:16">
      <c r="A200" t="s">
        <v>234</v>
      </c>
      <c r="B200">
        <v>22</v>
      </c>
      <c r="C200" t="s">
        <v>5</v>
      </c>
      <c r="D200">
        <v>98.16</v>
      </c>
      <c r="E200">
        <v>5</v>
      </c>
      <c r="F200">
        <v>8.27</v>
      </c>
      <c r="G200">
        <v>68.06</v>
      </c>
      <c r="H200">
        <v>59.96</v>
      </c>
      <c r="I200">
        <v>9</v>
      </c>
      <c r="J200">
        <v>3</v>
      </c>
      <c r="K200">
        <f>(StudentData[[#This Row],[Midterm_Grade]]*40%)+(StudentData[[#This Row],[Final_Grade]]*60%)</f>
        <v>63.2</v>
      </c>
      <c r="L200">
        <f>StudentData[[#This Row],[Attendance_Percentage]]*40%+StudentData[[#This Row],[Assignments_Completed]]*2+StudentData[[#This Row],[Class_Participation]]*2+StudentData[[#This Row],[Projects_Submitted]]*4</f>
        <v>77.804000000000002</v>
      </c>
      <c r="M200">
        <f>StudentData[[#This Row],[Academic_Score]]*60%+StudentData[[#This Row],[Engagement_Score]]*30%+MIN(StudentData[[#This Row],[Study_Hours_per_Week]],20)/20*100*10%</f>
        <v>65.761200000000002</v>
      </c>
      <c r="N200" s="3" t="str" cm="1">
        <f t="array" ref="N200">_xlfn.IFS(StudentData[[#This Row],[Success_Score]]&gt;=85,"Exceptional",StudentData[[#This Row],[Success_Score]]&gt;=70,"Strong",StudentData[[#This Row],[Success_Score]]&gt;=55,"Developing",TRUE,"Needs Improvement")</f>
        <v>Developing</v>
      </c>
      <c r="O200" s="3" t="str">
        <f t="shared" si="6"/>
        <v>Low Risk</v>
      </c>
      <c r="P200" s="3" t="str">
        <f t="shared" si="7"/>
        <v>21-23</v>
      </c>
    </row>
    <row r="201" spans="1:16">
      <c r="A201" t="s">
        <v>235</v>
      </c>
      <c r="B201">
        <v>20</v>
      </c>
      <c r="C201" t="s">
        <v>4</v>
      </c>
      <c r="D201">
        <v>77.48</v>
      </c>
      <c r="E201">
        <v>6</v>
      </c>
      <c r="F201">
        <v>9.0299999999999994</v>
      </c>
      <c r="G201">
        <v>16.61</v>
      </c>
      <c r="H201">
        <v>55.04</v>
      </c>
      <c r="I201">
        <v>15</v>
      </c>
      <c r="J201">
        <v>3</v>
      </c>
      <c r="K201">
        <f>(StudentData[[#This Row],[Midterm_Grade]]*40%)+(StudentData[[#This Row],[Final_Grade]]*60%)</f>
        <v>39.667999999999999</v>
      </c>
      <c r="L201">
        <f>StudentData[[#This Row],[Attendance_Percentage]]*40%+StudentData[[#This Row],[Assignments_Completed]]*2+StudentData[[#This Row],[Class_Participation]]*2+StudentData[[#This Row],[Projects_Submitted]]*4</f>
        <v>73.052000000000007</v>
      </c>
      <c r="M201">
        <f>StudentData[[#This Row],[Academic_Score]]*60%+StudentData[[#This Row],[Engagement_Score]]*30%+MIN(StudentData[[#This Row],[Study_Hours_per_Week]],20)/20*100*10%</f>
        <v>53.2164</v>
      </c>
      <c r="N201" s="3" t="str" cm="1">
        <f t="array" ref="N20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01" s="3" t="str">
        <f t="shared" si="6"/>
        <v>Medium Risk</v>
      </c>
      <c r="P201" s="3" t="str">
        <f t="shared" si="7"/>
        <v>18-20</v>
      </c>
    </row>
    <row r="202" spans="1:16">
      <c r="A202" t="s">
        <v>236</v>
      </c>
      <c r="B202">
        <v>24</v>
      </c>
      <c r="C202" t="s">
        <v>4</v>
      </c>
      <c r="D202">
        <v>98.29</v>
      </c>
      <c r="E202">
        <v>8</v>
      </c>
      <c r="F202">
        <v>9.34</v>
      </c>
      <c r="G202">
        <v>5.91</v>
      </c>
      <c r="H202">
        <v>51.4</v>
      </c>
      <c r="I202">
        <v>7</v>
      </c>
      <c r="J202">
        <v>0</v>
      </c>
      <c r="K202">
        <f>(StudentData[[#This Row],[Midterm_Grade]]*40%)+(StudentData[[#This Row],[Final_Grade]]*60%)</f>
        <v>33.203999999999994</v>
      </c>
      <c r="L202">
        <f>StudentData[[#This Row],[Attendance_Percentage]]*40%+StudentData[[#This Row],[Assignments_Completed]]*2+StudentData[[#This Row],[Class_Participation]]*2+StudentData[[#This Row],[Projects_Submitted]]*4</f>
        <v>73.996000000000009</v>
      </c>
      <c r="M202">
        <f>StudentData[[#This Row],[Academic_Score]]*60%+StudentData[[#This Row],[Engagement_Score]]*30%+MIN(StudentData[[#This Row],[Study_Hours_per_Week]],20)/20*100*10%</f>
        <v>45.621200000000002</v>
      </c>
      <c r="N202" s="3" t="str" cm="1">
        <f t="array" ref="N20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02" s="3" t="str">
        <f t="shared" si="6"/>
        <v>Medium Risk</v>
      </c>
      <c r="P202" s="3" t="str">
        <f t="shared" si="7"/>
        <v>24-25</v>
      </c>
    </row>
    <row r="203" spans="1:16">
      <c r="A203" t="s">
        <v>237</v>
      </c>
      <c r="B203">
        <v>25</v>
      </c>
      <c r="C203" t="s">
        <v>5</v>
      </c>
      <c r="D203">
        <v>71.62</v>
      </c>
      <c r="E203">
        <v>2</v>
      </c>
      <c r="F203">
        <v>8.01</v>
      </c>
      <c r="G203">
        <v>69.069999999999993</v>
      </c>
      <c r="H203">
        <v>69.010000000000005</v>
      </c>
      <c r="I203">
        <v>8</v>
      </c>
      <c r="J203">
        <v>1</v>
      </c>
      <c r="K203">
        <f>(StudentData[[#This Row],[Midterm_Grade]]*40%)+(StudentData[[#This Row],[Final_Grade]]*60%)</f>
        <v>69.033999999999992</v>
      </c>
      <c r="L203">
        <f>StudentData[[#This Row],[Attendance_Percentage]]*40%+StudentData[[#This Row],[Assignments_Completed]]*2+StudentData[[#This Row],[Class_Participation]]*2+StudentData[[#This Row],[Projects_Submitted]]*4</f>
        <v>52.668000000000006</v>
      </c>
      <c r="M203">
        <f>StudentData[[#This Row],[Academic_Score]]*60%+StudentData[[#This Row],[Engagement_Score]]*30%+MIN(StudentData[[#This Row],[Study_Hours_per_Week]],20)/20*100*10%</f>
        <v>61.220799999999997</v>
      </c>
      <c r="N203" s="3" t="str" cm="1">
        <f t="array" ref="N203">_xlfn.IFS(StudentData[[#This Row],[Success_Score]]&gt;=85,"Exceptional",StudentData[[#This Row],[Success_Score]]&gt;=70,"Strong",StudentData[[#This Row],[Success_Score]]&gt;=55,"Developing",TRUE,"Needs Improvement")</f>
        <v>Developing</v>
      </c>
      <c r="O203" s="3" t="str">
        <f t="shared" si="6"/>
        <v>Low Risk</v>
      </c>
      <c r="P203" s="3" t="str">
        <f t="shared" si="7"/>
        <v>24-25</v>
      </c>
    </row>
    <row r="204" spans="1:16">
      <c r="A204" t="s">
        <v>238</v>
      </c>
      <c r="B204">
        <v>24</v>
      </c>
      <c r="C204" t="s">
        <v>5</v>
      </c>
      <c r="D204">
        <v>65.59</v>
      </c>
      <c r="E204">
        <v>1</v>
      </c>
      <c r="F204">
        <v>6.74</v>
      </c>
      <c r="G204">
        <v>72.88</v>
      </c>
      <c r="H204">
        <v>83.74</v>
      </c>
      <c r="I204">
        <v>8</v>
      </c>
      <c r="J204">
        <v>4</v>
      </c>
      <c r="K204">
        <f>(StudentData[[#This Row],[Midterm_Grade]]*40%)+(StudentData[[#This Row],[Final_Grade]]*60%)</f>
        <v>79.395999999999987</v>
      </c>
      <c r="L204">
        <f>StudentData[[#This Row],[Attendance_Percentage]]*40%+StudentData[[#This Row],[Assignments_Completed]]*2+StudentData[[#This Row],[Class_Participation]]*2+StudentData[[#This Row],[Projects_Submitted]]*4</f>
        <v>57.716000000000008</v>
      </c>
      <c r="M204">
        <f>StudentData[[#This Row],[Academic_Score]]*60%+StudentData[[#This Row],[Engagement_Score]]*30%+MIN(StudentData[[#This Row],[Study_Hours_per_Week]],20)/20*100*10%</f>
        <v>68.952399999999997</v>
      </c>
      <c r="N204" s="3" t="str" cm="1">
        <f t="array" ref="N204">_xlfn.IFS(StudentData[[#This Row],[Success_Score]]&gt;=85,"Exceptional",StudentData[[#This Row],[Success_Score]]&gt;=70,"Strong",StudentData[[#This Row],[Success_Score]]&gt;=55,"Developing",TRUE,"Needs Improvement")</f>
        <v>Developing</v>
      </c>
      <c r="O204" s="3" t="str">
        <f t="shared" si="6"/>
        <v>Medium Risk</v>
      </c>
      <c r="P204" s="3" t="str">
        <f t="shared" si="7"/>
        <v>24-25</v>
      </c>
    </row>
    <row r="205" spans="1:16">
      <c r="A205" t="s">
        <v>239</v>
      </c>
      <c r="B205">
        <v>18</v>
      </c>
      <c r="C205" t="s">
        <v>5</v>
      </c>
      <c r="D205">
        <v>75.31</v>
      </c>
      <c r="E205">
        <v>2</v>
      </c>
      <c r="F205">
        <v>0.06</v>
      </c>
      <c r="G205">
        <v>4.7</v>
      </c>
      <c r="H205">
        <v>32.299999999999997</v>
      </c>
      <c r="I205">
        <v>1</v>
      </c>
      <c r="J205">
        <v>3</v>
      </c>
      <c r="K205">
        <f>(StudentData[[#This Row],[Midterm_Grade]]*40%)+(StudentData[[#This Row],[Final_Grade]]*60%)</f>
        <v>21.259999999999998</v>
      </c>
      <c r="L205">
        <f>StudentData[[#This Row],[Attendance_Percentage]]*40%+StudentData[[#This Row],[Assignments_Completed]]*2+StudentData[[#This Row],[Class_Participation]]*2+StudentData[[#This Row],[Projects_Submitted]]*4</f>
        <v>46.244</v>
      </c>
      <c r="M205">
        <f>StudentData[[#This Row],[Academic_Score]]*60%+StudentData[[#This Row],[Engagement_Score]]*30%+MIN(StudentData[[#This Row],[Study_Hours_per_Week]],20)/20*100*10%</f>
        <v>27.129199999999997</v>
      </c>
      <c r="N205" s="3" t="str" cm="1">
        <f t="array" ref="N20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05" s="3" t="str">
        <f t="shared" si="6"/>
        <v>Medium Risk</v>
      </c>
      <c r="P205" s="3" t="str">
        <f t="shared" si="7"/>
        <v>18-20</v>
      </c>
    </row>
    <row r="206" spans="1:16">
      <c r="A206" t="s">
        <v>240</v>
      </c>
      <c r="B206">
        <v>21</v>
      </c>
      <c r="C206" t="s">
        <v>5</v>
      </c>
      <c r="D206">
        <v>71.98</v>
      </c>
      <c r="E206">
        <v>8</v>
      </c>
      <c r="F206">
        <v>4.66</v>
      </c>
      <c r="G206">
        <v>92.81</v>
      </c>
      <c r="H206">
        <v>88.9</v>
      </c>
      <c r="I206">
        <v>12</v>
      </c>
      <c r="J206">
        <v>4</v>
      </c>
      <c r="K206">
        <f>(StudentData[[#This Row],[Midterm_Grade]]*40%)+(StudentData[[#This Row],[Final_Grade]]*60%)</f>
        <v>90.463999999999999</v>
      </c>
      <c r="L206">
        <f>StudentData[[#This Row],[Attendance_Percentage]]*40%+StudentData[[#This Row],[Assignments_Completed]]*2+StudentData[[#This Row],[Class_Participation]]*2+StudentData[[#This Row],[Projects_Submitted]]*4</f>
        <v>70.111999999999995</v>
      </c>
      <c r="M206">
        <f>StudentData[[#This Row],[Academic_Score]]*60%+StudentData[[#This Row],[Engagement_Score]]*30%+MIN(StudentData[[#This Row],[Study_Hours_per_Week]],20)/20*100*10%</f>
        <v>81.311999999999998</v>
      </c>
      <c r="N206" s="3" t="str" cm="1">
        <f t="array" ref="N206">_xlfn.IFS(StudentData[[#This Row],[Success_Score]]&gt;=85,"Exceptional",StudentData[[#This Row],[Success_Score]]&gt;=70,"Strong",StudentData[[#This Row],[Success_Score]]&gt;=55,"Developing",TRUE,"Needs Improvement")</f>
        <v>Strong</v>
      </c>
      <c r="O206" s="3" t="str">
        <f t="shared" si="6"/>
        <v>Low Risk</v>
      </c>
      <c r="P206" s="3" t="str">
        <f t="shared" si="7"/>
        <v>21-23</v>
      </c>
    </row>
    <row r="207" spans="1:16">
      <c r="A207" t="s">
        <v>241</v>
      </c>
      <c r="B207">
        <v>22</v>
      </c>
      <c r="C207" t="s">
        <v>6</v>
      </c>
      <c r="D207">
        <v>55.28</v>
      </c>
      <c r="E207">
        <v>6</v>
      </c>
      <c r="F207">
        <v>5.71</v>
      </c>
      <c r="G207">
        <v>9.11</v>
      </c>
      <c r="H207">
        <v>16.059999999999999</v>
      </c>
      <c r="I207">
        <v>12</v>
      </c>
      <c r="J207">
        <v>4</v>
      </c>
      <c r="K207">
        <f>(StudentData[[#This Row],[Midterm_Grade]]*40%)+(StudentData[[#This Row],[Final_Grade]]*60%)</f>
        <v>13.28</v>
      </c>
      <c r="L207">
        <f>StudentData[[#This Row],[Attendance_Percentage]]*40%+StudentData[[#This Row],[Assignments_Completed]]*2+StudentData[[#This Row],[Class_Participation]]*2+StudentData[[#This Row],[Projects_Submitted]]*4</f>
        <v>61.532000000000004</v>
      </c>
      <c r="M207">
        <f>StudentData[[#This Row],[Academic_Score]]*60%+StudentData[[#This Row],[Engagement_Score]]*30%+MIN(StudentData[[#This Row],[Study_Hours_per_Week]],20)/20*100*10%</f>
        <v>32.427599999999998</v>
      </c>
      <c r="N207" s="3" t="str" cm="1">
        <f t="array" ref="N20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07" s="3" t="str">
        <f t="shared" si="6"/>
        <v>High Risk</v>
      </c>
      <c r="P207" s="3" t="str">
        <f t="shared" si="7"/>
        <v>21-23</v>
      </c>
    </row>
    <row r="208" spans="1:16">
      <c r="A208" t="s">
        <v>242</v>
      </c>
      <c r="B208">
        <v>25</v>
      </c>
      <c r="C208" t="s">
        <v>5</v>
      </c>
      <c r="D208">
        <v>82.04</v>
      </c>
      <c r="E208">
        <v>8</v>
      </c>
      <c r="F208">
        <v>3.04</v>
      </c>
      <c r="G208">
        <v>28.59</v>
      </c>
      <c r="H208">
        <v>17.3</v>
      </c>
      <c r="I208">
        <v>3</v>
      </c>
      <c r="J208">
        <v>3</v>
      </c>
      <c r="K208">
        <f>(StudentData[[#This Row],[Midterm_Grade]]*40%)+(StudentData[[#This Row],[Final_Grade]]*60%)</f>
        <v>21.816000000000003</v>
      </c>
      <c r="L208">
        <f>StudentData[[#This Row],[Attendance_Percentage]]*40%+StudentData[[#This Row],[Assignments_Completed]]*2+StudentData[[#This Row],[Class_Participation]]*2+StudentData[[#This Row],[Projects_Submitted]]*4</f>
        <v>66.896000000000001</v>
      </c>
      <c r="M208">
        <f>StudentData[[#This Row],[Academic_Score]]*60%+StudentData[[#This Row],[Engagement_Score]]*30%+MIN(StudentData[[#This Row],[Study_Hours_per_Week]],20)/20*100*10%</f>
        <v>34.6584</v>
      </c>
      <c r="N208" s="3" t="str" cm="1">
        <f t="array" ref="N20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08" s="3" t="str">
        <f t="shared" si="6"/>
        <v>Medium Risk</v>
      </c>
      <c r="P208" s="3" t="str">
        <f t="shared" si="7"/>
        <v>24-25</v>
      </c>
    </row>
    <row r="209" spans="1:16">
      <c r="A209" t="s">
        <v>243</v>
      </c>
      <c r="B209">
        <v>21</v>
      </c>
      <c r="C209" t="s">
        <v>4</v>
      </c>
      <c r="D209">
        <v>60.8</v>
      </c>
      <c r="E209">
        <v>1</v>
      </c>
      <c r="F209">
        <v>3.18</v>
      </c>
      <c r="G209">
        <v>67.239999999999995</v>
      </c>
      <c r="H209">
        <v>26.68</v>
      </c>
      <c r="I209">
        <v>11</v>
      </c>
      <c r="J209">
        <v>5</v>
      </c>
      <c r="K209">
        <f>(StudentData[[#This Row],[Midterm_Grade]]*40%)+(StudentData[[#This Row],[Final_Grade]]*60%)</f>
        <v>42.903999999999996</v>
      </c>
      <c r="L209">
        <f>StudentData[[#This Row],[Attendance_Percentage]]*40%+StudentData[[#This Row],[Assignments_Completed]]*2+StudentData[[#This Row],[Class_Participation]]*2+StudentData[[#This Row],[Projects_Submitted]]*4</f>
        <v>52.68</v>
      </c>
      <c r="M209">
        <f>StudentData[[#This Row],[Academic_Score]]*60%+StudentData[[#This Row],[Engagement_Score]]*30%+MIN(StudentData[[#This Row],[Study_Hours_per_Week]],20)/20*100*10%</f>
        <v>47.046399999999991</v>
      </c>
      <c r="N209" s="3" t="str" cm="1">
        <f t="array" ref="N20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09" s="3" t="str">
        <f t="shared" si="6"/>
        <v>Medium Risk</v>
      </c>
      <c r="P209" s="3" t="str">
        <f t="shared" si="7"/>
        <v>21-23</v>
      </c>
    </row>
    <row r="210" spans="1:16">
      <c r="A210" t="s">
        <v>244</v>
      </c>
      <c r="B210">
        <v>23</v>
      </c>
      <c r="C210" t="s">
        <v>5</v>
      </c>
      <c r="D210">
        <v>80.98</v>
      </c>
      <c r="E210">
        <v>4</v>
      </c>
      <c r="F210">
        <v>9.61</v>
      </c>
      <c r="G210">
        <v>16.989999999999998</v>
      </c>
      <c r="H210">
        <v>11.95</v>
      </c>
      <c r="I210">
        <v>16</v>
      </c>
      <c r="J210">
        <v>2</v>
      </c>
      <c r="K210">
        <f>(StudentData[[#This Row],[Midterm_Grade]]*40%)+(StudentData[[#This Row],[Final_Grade]]*60%)</f>
        <v>13.965999999999998</v>
      </c>
      <c r="L210">
        <f>StudentData[[#This Row],[Attendance_Percentage]]*40%+StudentData[[#This Row],[Assignments_Completed]]*2+StudentData[[#This Row],[Class_Participation]]*2+StudentData[[#This Row],[Projects_Submitted]]*4</f>
        <v>67.611999999999995</v>
      </c>
      <c r="M210">
        <f>StudentData[[#This Row],[Academic_Score]]*60%+StudentData[[#This Row],[Engagement_Score]]*30%+MIN(StudentData[[#This Row],[Study_Hours_per_Week]],20)/20*100*10%</f>
        <v>36.663199999999996</v>
      </c>
      <c r="N210" s="3" t="str" cm="1">
        <f t="array" ref="N21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10" s="3" t="str">
        <f t="shared" si="6"/>
        <v>Medium Risk</v>
      </c>
      <c r="P210" s="3" t="str">
        <f t="shared" si="7"/>
        <v>21-23</v>
      </c>
    </row>
    <row r="211" spans="1:16">
      <c r="A211" t="s">
        <v>245</v>
      </c>
      <c r="B211">
        <v>22</v>
      </c>
      <c r="C211" t="s">
        <v>4</v>
      </c>
      <c r="D211">
        <v>82.51</v>
      </c>
      <c r="E211">
        <v>3</v>
      </c>
      <c r="F211">
        <v>8.92</v>
      </c>
      <c r="G211">
        <v>5.54</v>
      </c>
      <c r="H211">
        <v>23.03</v>
      </c>
      <c r="I211">
        <v>1</v>
      </c>
      <c r="J211">
        <v>1</v>
      </c>
      <c r="K211">
        <f>(StudentData[[#This Row],[Midterm_Grade]]*40%)+(StudentData[[#This Row],[Final_Grade]]*60%)</f>
        <v>16.033999999999999</v>
      </c>
      <c r="L211">
        <f>StudentData[[#This Row],[Attendance_Percentage]]*40%+StudentData[[#This Row],[Assignments_Completed]]*2+StudentData[[#This Row],[Class_Participation]]*2+StudentData[[#This Row],[Projects_Submitted]]*4</f>
        <v>60.844000000000008</v>
      </c>
      <c r="M211">
        <f>StudentData[[#This Row],[Academic_Score]]*60%+StudentData[[#This Row],[Engagement_Score]]*30%+MIN(StudentData[[#This Row],[Study_Hours_per_Week]],20)/20*100*10%</f>
        <v>28.373600000000003</v>
      </c>
      <c r="N211" s="3" t="str" cm="1">
        <f t="array" ref="N21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11" s="3" t="str">
        <f t="shared" si="6"/>
        <v>Medium Risk</v>
      </c>
      <c r="P211" s="3" t="str">
        <f t="shared" si="7"/>
        <v>21-23</v>
      </c>
    </row>
    <row r="212" spans="1:16">
      <c r="A212" t="s">
        <v>246</v>
      </c>
      <c r="B212">
        <v>24</v>
      </c>
      <c r="C212" t="s">
        <v>4</v>
      </c>
      <c r="D212">
        <v>57.6</v>
      </c>
      <c r="E212">
        <v>1</v>
      </c>
      <c r="F212">
        <v>8.49</v>
      </c>
      <c r="G212">
        <v>33.11</v>
      </c>
      <c r="H212">
        <v>10.64</v>
      </c>
      <c r="I212">
        <v>12</v>
      </c>
      <c r="J212">
        <v>1</v>
      </c>
      <c r="K212">
        <f>(StudentData[[#This Row],[Midterm_Grade]]*40%)+(StudentData[[#This Row],[Final_Grade]]*60%)</f>
        <v>19.628</v>
      </c>
      <c r="L212">
        <f>StudentData[[#This Row],[Attendance_Percentage]]*40%+StudentData[[#This Row],[Assignments_Completed]]*2+StudentData[[#This Row],[Class_Participation]]*2+StudentData[[#This Row],[Projects_Submitted]]*4</f>
        <v>46.02</v>
      </c>
      <c r="M212">
        <f>StudentData[[#This Row],[Academic_Score]]*60%+StudentData[[#This Row],[Engagement_Score]]*30%+MIN(StudentData[[#This Row],[Study_Hours_per_Week]],20)/20*100*10%</f>
        <v>31.582799999999999</v>
      </c>
      <c r="N212" s="3" t="str" cm="1">
        <f t="array" ref="N21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12" s="3" t="str">
        <f t="shared" si="6"/>
        <v>High Risk</v>
      </c>
      <c r="P212" s="3" t="str">
        <f t="shared" si="7"/>
        <v>24-25</v>
      </c>
    </row>
    <row r="213" spans="1:16">
      <c r="A213" t="s">
        <v>247</v>
      </c>
      <c r="B213">
        <v>24</v>
      </c>
      <c r="C213" t="s">
        <v>4</v>
      </c>
      <c r="D213">
        <v>53.07</v>
      </c>
      <c r="E213">
        <v>8</v>
      </c>
      <c r="F213">
        <v>4.0599999999999996</v>
      </c>
      <c r="G213">
        <v>76.599999999999994</v>
      </c>
      <c r="H213">
        <v>82.18</v>
      </c>
      <c r="I213">
        <v>17</v>
      </c>
      <c r="J213">
        <v>5</v>
      </c>
      <c r="K213">
        <f>(StudentData[[#This Row],[Midterm_Grade]]*40%)+(StudentData[[#This Row],[Final_Grade]]*60%)</f>
        <v>79.948000000000008</v>
      </c>
      <c r="L213">
        <f>StudentData[[#This Row],[Attendance_Percentage]]*40%+StudentData[[#This Row],[Assignments_Completed]]*2+StudentData[[#This Row],[Class_Participation]]*2+StudentData[[#This Row],[Projects_Submitted]]*4</f>
        <v>65.347999999999999</v>
      </c>
      <c r="M213">
        <f>StudentData[[#This Row],[Academic_Score]]*60%+StudentData[[#This Row],[Engagement_Score]]*30%+MIN(StudentData[[#This Row],[Study_Hours_per_Week]],20)/20*100*10%</f>
        <v>76.0732</v>
      </c>
      <c r="N213" s="3" t="str" cm="1">
        <f t="array" ref="N213">_xlfn.IFS(StudentData[[#This Row],[Success_Score]]&gt;=85,"Exceptional",StudentData[[#This Row],[Success_Score]]&gt;=70,"Strong",StudentData[[#This Row],[Success_Score]]&gt;=55,"Developing",TRUE,"Needs Improvement")</f>
        <v>Strong</v>
      </c>
      <c r="O213" s="3" t="str">
        <f t="shared" si="6"/>
        <v>Medium Risk</v>
      </c>
      <c r="P213" s="3" t="str">
        <f t="shared" si="7"/>
        <v>24-25</v>
      </c>
    </row>
    <row r="214" spans="1:16">
      <c r="A214" t="s">
        <v>248</v>
      </c>
      <c r="B214">
        <v>22</v>
      </c>
      <c r="C214" t="s">
        <v>4</v>
      </c>
      <c r="D214">
        <v>89.04</v>
      </c>
      <c r="E214">
        <v>8</v>
      </c>
      <c r="F214">
        <v>0.14000000000000001</v>
      </c>
      <c r="G214">
        <v>41.37</v>
      </c>
      <c r="H214">
        <v>13.9</v>
      </c>
      <c r="I214">
        <v>14</v>
      </c>
      <c r="J214">
        <v>0</v>
      </c>
      <c r="K214">
        <f>(StudentData[[#This Row],[Midterm_Grade]]*40%)+(StudentData[[#This Row],[Final_Grade]]*60%)</f>
        <v>24.887999999999998</v>
      </c>
      <c r="L214">
        <f>StudentData[[#This Row],[Attendance_Percentage]]*40%+StudentData[[#This Row],[Assignments_Completed]]*2+StudentData[[#This Row],[Class_Participation]]*2+StudentData[[#This Row],[Projects_Submitted]]*4</f>
        <v>51.896000000000008</v>
      </c>
      <c r="M214">
        <f>StudentData[[#This Row],[Academic_Score]]*60%+StudentData[[#This Row],[Engagement_Score]]*30%+MIN(StudentData[[#This Row],[Study_Hours_per_Week]],20)/20*100*10%</f>
        <v>37.501599999999996</v>
      </c>
      <c r="N214" s="3" t="str" cm="1">
        <f t="array" ref="N21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14" s="3" t="str">
        <f t="shared" si="6"/>
        <v>Medium Risk</v>
      </c>
      <c r="P214" s="3" t="str">
        <f t="shared" si="7"/>
        <v>21-23</v>
      </c>
    </row>
    <row r="215" spans="1:16">
      <c r="A215" t="s">
        <v>249</v>
      </c>
      <c r="B215">
        <v>24</v>
      </c>
      <c r="C215" t="s">
        <v>5</v>
      </c>
      <c r="D215">
        <v>72.989999999999995</v>
      </c>
      <c r="E215">
        <v>5</v>
      </c>
      <c r="F215">
        <v>0.8</v>
      </c>
      <c r="G215">
        <v>65.3</v>
      </c>
      <c r="H215">
        <v>74.73</v>
      </c>
      <c r="I215">
        <v>7</v>
      </c>
      <c r="J215">
        <v>5</v>
      </c>
      <c r="K215">
        <f>(StudentData[[#This Row],[Midterm_Grade]]*40%)+(StudentData[[#This Row],[Final_Grade]]*60%)</f>
        <v>70.957999999999998</v>
      </c>
      <c r="L215">
        <f>StudentData[[#This Row],[Attendance_Percentage]]*40%+StudentData[[#This Row],[Assignments_Completed]]*2+StudentData[[#This Row],[Class_Participation]]*2+StudentData[[#This Row],[Projects_Submitted]]*4</f>
        <v>60.795999999999999</v>
      </c>
      <c r="M215">
        <f>StudentData[[#This Row],[Academic_Score]]*60%+StudentData[[#This Row],[Engagement_Score]]*30%+MIN(StudentData[[#This Row],[Study_Hours_per_Week]],20)/20*100*10%</f>
        <v>64.313599999999994</v>
      </c>
      <c r="N215" s="3" t="str" cm="1">
        <f t="array" ref="N215">_xlfn.IFS(StudentData[[#This Row],[Success_Score]]&gt;=85,"Exceptional",StudentData[[#This Row],[Success_Score]]&gt;=70,"Strong",StudentData[[#This Row],[Success_Score]]&gt;=55,"Developing",TRUE,"Needs Improvement")</f>
        <v>Developing</v>
      </c>
      <c r="O215" s="3" t="str">
        <f t="shared" si="6"/>
        <v>Low Risk</v>
      </c>
      <c r="P215" s="3" t="str">
        <f t="shared" si="7"/>
        <v>24-25</v>
      </c>
    </row>
    <row r="216" spans="1:16">
      <c r="A216" t="s">
        <v>250</v>
      </c>
      <c r="B216">
        <v>20</v>
      </c>
      <c r="C216" t="s">
        <v>5</v>
      </c>
      <c r="D216">
        <v>52.91</v>
      </c>
      <c r="E216">
        <v>10</v>
      </c>
      <c r="F216">
        <v>3.12</v>
      </c>
      <c r="G216">
        <v>57.96</v>
      </c>
      <c r="H216">
        <v>4.79</v>
      </c>
      <c r="I216">
        <v>14</v>
      </c>
      <c r="J216">
        <v>0</v>
      </c>
      <c r="K216">
        <f>(StudentData[[#This Row],[Midterm_Grade]]*40%)+(StudentData[[#This Row],[Final_Grade]]*60%)</f>
        <v>26.058</v>
      </c>
      <c r="L216">
        <f>StudentData[[#This Row],[Attendance_Percentage]]*40%+StudentData[[#This Row],[Assignments_Completed]]*2+StudentData[[#This Row],[Class_Participation]]*2+StudentData[[#This Row],[Projects_Submitted]]*4</f>
        <v>47.404000000000003</v>
      </c>
      <c r="M216">
        <f>StudentData[[#This Row],[Academic_Score]]*60%+StudentData[[#This Row],[Engagement_Score]]*30%+MIN(StudentData[[#This Row],[Study_Hours_per_Week]],20)/20*100*10%</f>
        <v>36.856000000000002</v>
      </c>
      <c r="N216" s="3" t="str" cm="1">
        <f t="array" ref="N21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16" s="3" t="str">
        <f t="shared" si="6"/>
        <v>High Risk</v>
      </c>
      <c r="P216" s="3" t="str">
        <f t="shared" si="7"/>
        <v>18-20</v>
      </c>
    </row>
    <row r="217" spans="1:16">
      <c r="A217" t="s">
        <v>251</v>
      </c>
      <c r="B217">
        <v>22</v>
      </c>
      <c r="C217" t="s">
        <v>6</v>
      </c>
      <c r="D217">
        <v>99.74</v>
      </c>
      <c r="E217">
        <v>5</v>
      </c>
      <c r="F217">
        <v>0.16</v>
      </c>
      <c r="G217">
        <v>2.2200000000000002</v>
      </c>
      <c r="H217">
        <v>94.85</v>
      </c>
      <c r="I217">
        <v>0</v>
      </c>
      <c r="J217">
        <v>0</v>
      </c>
      <c r="K217">
        <f>(StudentData[[#This Row],[Midterm_Grade]]*40%)+(StudentData[[#This Row],[Final_Grade]]*60%)</f>
        <v>57.797999999999995</v>
      </c>
      <c r="L217">
        <f>StudentData[[#This Row],[Attendance_Percentage]]*40%+StudentData[[#This Row],[Assignments_Completed]]*2+StudentData[[#This Row],[Class_Participation]]*2+StudentData[[#This Row],[Projects_Submitted]]*4</f>
        <v>50.216000000000001</v>
      </c>
      <c r="M217">
        <f>StudentData[[#This Row],[Academic_Score]]*60%+StudentData[[#This Row],[Engagement_Score]]*30%+MIN(StudentData[[#This Row],[Study_Hours_per_Week]],20)/20*100*10%</f>
        <v>49.743599999999994</v>
      </c>
      <c r="N217" s="3" t="str" cm="1">
        <f t="array" ref="N21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17" s="3" t="str">
        <f t="shared" si="6"/>
        <v>Medium Risk</v>
      </c>
      <c r="P217" s="3" t="str">
        <f t="shared" si="7"/>
        <v>21-23</v>
      </c>
    </row>
    <row r="218" spans="1:16">
      <c r="A218" t="s">
        <v>252</v>
      </c>
      <c r="B218">
        <v>21</v>
      </c>
      <c r="C218" t="s">
        <v>4</v>
      </c>
      <c r="D218">
        <v>52.89</v>
      </c>
      <c r="E218">
        <v>7</v>
      </c>
      <c r="F218">
        <v>0.17</v>
      </c>
      <c r="G218">
        <v>98.85</v>
      </c>
      <c r="H218">
        <v>71.12</v>
      </c>
      <c r="I218">
        <v>19</v>
      </c>
      <c r="J218">
        <v>5</v>
      </c>
      <c r="K218">
        <f>(StudentData[[#This Row],[Midterm_Grade]]*40%)+(StudentData[[#This Row],[Final_Grade]]*60%)</f>
        <v>82.212000000000003</v>
      </c>
      <c r="L218">
        <f>StudentData[[#This Row],[Attendance_Percentage]]*40%+StudentData[[#This Row],[Assignments_Completed]]*2+StudentData[[#This Row],[Class_Participation]]*2+StudentData[[#This Row],[Projects_Submitted]]*4</f>
        <v>55.496000000000009</v>
      </c>
      <c r="M218">
        <f>StudentData[[#This Row],[Academic_Score]]*60%+StudentData[[#This Row],[Engagement_Score]]*30%+MIN(StudentData[[#This Row],[Study_Hours_per_Week]],20)/20*100*10%</f>
        <v>75.475999999999999</v>
      </c>
      <c r="N218" s="3" t="str" cm="1">
        <f t="array" ref="N218">_xlfn.IFS(StudentData[[#This Row],[Success_Score]]&gt;=85,"Exceptional",StudentData[[#This Row],[Success_Score]]&gt;=70,"Strong",StudentData[[#This Row],[Success_Score]]&gt;=55,"Developing",TRUE,"Needs Improvement")</f>
        <v>Strong</v>
      </c>
      <c r="O218" s="3" t="str">
        <f t="shared" si="6"/>
        <v>Medium Risk</v>
      </c>
      <c r="P218" s="3" t="str">
        <f t="shared" si="7"/>
        <v>21-23</v>
      </c>
    </row>
    <row r="219" spans="1:16">
      <c r="A219" t="s">
        <v>253</v>
      </c>
      <c r="B219">
        <v>22</v>
      </c>
      <c r="C219" t="s">
        <v>6</v>
      </c>
      <c r="D219">
        <v>84.75</v>
      </c>
      <c r="E219">
        <v>5</v>
      </c>
      <c r="F219">
        <v>9.17</v>
      </c>
      <c r="G219">
        <v>4.1399999999999997</v>
      </c>
      <c r="H219">
        <v>0.68</v>
      </c>
      <c r="I219">
        <v>9</v>
      </c>
      <c r="J219">
        <v>1</v>
      </c>
      <c r="K219">
        <f>(StudentData[[#This Row],[Midterm_Grade]]*40%)+(StudentData[[#This Row],[Final_Grade]]*60%)</f>
        <v>2.0640000000000001</v>
      </c>
      <c r="L219">
        <f>StudentData[[#This Row],[Attendance_Percentage]]*40%+StudentData[[#This Row],[Assignments_Completed]]*2+StudentData[[#This Row],[Class_Participation]]*2+StudentData[[#This Row],[Projects_Submitted]]*4</f>
        <v>66.239999999999995</v>
      </c>
      <c r="M219">
        <f>StudentData[[#This Row],[Academic_Score]]*60%+StudentData[[#This Row],[Engagement_Score]]*30%+MIN(StudentData[[#This Row],[Study_Hours_per_Week]],20)/20*100*10%</f>
        <v>25.610399999999995</v>
      </c>
      <c r="N219" s="3" t="str" cm="1">
        <f t="array" ref="N21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19" s="3" t="str">
        <f t="shared" si="6"/>
        <v>Medium Risk</v>
      </c>
      <c r="P219" s="3" t="str">
        <f t="shared" si="7"/>
        <v>21-23</v>
      </c>
    </row>
    <row r="220" spans="1:16">
      <c r="A220" t="s">
        <v>254</v>
      </c>
      <c r="B220">
        <v>25</v>
      </c>
      <c r="C220" t="s">
        <v>5</v>
      </c>
      <c r="D220">
        <v>99.18</v>
      </c>
      <c r="E220">
        <v>0</v>
      </c>
      <c r="F220">
        <v>7.06</v>
      </c>
      <c r="G220">
        <v>96.78</v>
      </c>
      <c r="H220">
        <v>76.39</v>
      </c>
      <c r="I220">
        <v>11</v>
      </c>
      <c r="J220">
        <v>2</v>
      </c>
      <c r="K220">
        <f>(StudentData[[#This Row],[Midterm_Grade]]*40%)+(StudentData[[#This Row],[Final_Grade]]*60%)</f>
        <v>84.545999999999992</v>
      </c>
      <c r="L220">
        <f>StudentData[[#This Row],[Attendance_Percentage]]*40%+StudentData[[#This Row],[Assignments_Completed]]*2+StudentData[[#This Row],[Class_Participation]]*2+StudentData[[#This Row],[Projects_Submitted]]*4</f>
        <v>61.792000000000002</v>
      </c>
      <c r="M220">
        <f>StudentData[[#This Row],[Academic_Score]]*60%+StudentData[[#This Row],[Engagement_Score]]*30%+MIN(StudentData[[#This Row],[Study_Hours_per_Week]],20)/20*100*10%</f>
        <v>74.765199999999993</v>
      </c>
      <c r="N220" s="3" t="str" cm="1">
        <f t="array" ref="N220">_xlfn.IFS(StudentData[[#This Row],[Success_Score]]&gt;=85,"Exceptional",StudentData[[#This Row],[Success_Score]]&gt;=70,"Strong",StudentData[[#This Row],[Success_Score]]&gt;=55,"Developing",TRUE,"Needs Improvement")</f>
        <v>Strong</v>
      </c>
      <c r="O220" s="3" t="str">
        <f t="shared" si="6"/>
        <v>Low Risk</v>
      </c>
      <c r="P220" s="3" t="str">
        <f t="shared" si="7"/>
        <v>24-25</v>
      </c>
    </row>
    <row r="221" spans="1:16">
      <c r="A221" t="s">
        <v>255</v>
      </c>
      <c r="B221">
        <v>24</v>
      </c>
      <c r="C221" t="s">
        <v>4</v>
      </c>
      <c r="D221">
        <v>61.96</v>
      </c>
      <c r="E221">
        <v>3</v>
      </c>
      <c r="F221">
        <v>3.09</v>
      </c>
      <c r="G221">
        <v>54.99</v>
      </c>
      <c r="H221">
        <v>51.41</v>
      </c>
      <c r="I221">
        <v>4</v>
      </c>
      <c r="J221">
        <v>1</v>
      </c>
      <c r="K221">
        <f>(StudentData[[#This Row],[Midterm_Grade]]*40%)+(StudentData[[#This Row],[Final_Grade]]*60%)</f>
        <v>52.841999999999999</v>
      </c>
      <c r="L221">
        <f>StudentData[[#This Row],[Attendance_Percentage]]*40%+StudentData[[#This Row],[Assignments_Completed]]*2+StudentData[[#This Row],[Class_Participation]]*2+StudentData[[#This Row],[Projects_Submitted]]*4</f>
        <v>40.963999999999999</v>
      </c>
      <c r="M221">
        <f>StudentData[[#This Row],[Academic_Score]]*60%+StudentData[[#This Row],[Engagement_Score]]*30%+MIN(StudentData[[#This Row],[Study_Hours_per_Week]],20)/20*100*10%</f>
        <v>45.994399999999999</v>
      </c>
      <c r="N221" s="3" t="str" cm="1">
        <f t="array" ref="N22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21" s="3" t="str">
        <f t="shared" si="6"/>
        <v>Medium Risk</v>
      </c>
      <c r="P221" s="3" t="str">
        <f t="shared" si="7"/>
        <v>24-25</v>
      </c>
    </row>
    <row r="222" spans="1:16">
      <c r="A222" t="s">
        <v>256</v>
      </c>
      <c r="B222">
        <v>20</v>
      </c>
      <c r="C222" t="s">
        <v>6</v>
      </c>
      <c r="D222">
        <v>57.11</v>
      </c>
      <c r="E222">
        <v>6</v>
      </c>
      <c r="F222">
        <v>1.33</v>
      </c>
      <c r="G222">
        <v>96.32</v>
      </c>
      <c r="H222">
        <v>77.94</v>
      </c>
      <c r="I222">
        <v>8</v>
      </c>
      <c r="J222">
        <v>1</v>
      </c>
      <c r="K222">
        <f>(StudentData[[#This Row],[Midterm_Grade]]*40%)+(StudentData[[#This Row],[Final_Grade]]*60%)</f>
        <v>85.292000000000002</v>
      </c>
      <c r="L222">
        <f>StudentData[[#This Row],[Attendance_Percentage]]*40%+StudentData[[#This Row],[Assignments_Completed]]*2+StudentData[[#This Row],[Class_Participation]]*2+StudentData[[#This Row],[Projects_Submitted]]*4</f>
        <v>41.504000000000005</v>
      </c>
      <c r="M222">
        <f>StudentData[[#This Row],[Academic_Score]]*60%+StudentData[[#This Row],[Engagement_Score]]*30%+MIN(StudentData[[#This Row],[Study_Hours_per_Week]],20)/20*100*10%</f>
        <v>67.62639999999999</v>
      </c>
      <c r="N222" s="3" t="str" cm="1">
        <f t="array" ref="N222">_xlfn.IFS(StudentData[[#This Row],[Success_Score]]&gt;=85,"Exceptional",StudentData[[#This Row],[Success_Score]]&gt;=70,"Strong",StudentData[[#This Row],[Success_Score]]&gt;=55,"Developing",TRUE,"Needs Improvement")</f>
        <v>Developing</v>
      </c>
      <c r="O222" s="3" t="str">
        <f t="shared" si="6"/>
        <v>Medium Risk</v>
      </c>
      <c r="P222" s="3" t="str">
        <f t="shared" si="7"/>
        <v>18-20</v>
      </c>
    </row>
    <row r="223" spans="1:16">
      <c r="A223" t="s">
        <v>257</v>
      </c>
      <c r="B223">
        <v>20</v>
      </c>
      <c r="C223" t="s">
        <v>5</v>
      </c>
      <c r="D223">
        <v>56.07</v>
      </c>
      <c r="E223">
        <v>1</v>
      </c>
      <c r="F223">
        <v>5.12</v>
      </c>
      <c r="G223">
        <v>11.48</v>
      </c>
      <c r="H223">
        <v>52.25</v>
      </c>
      <c r="I223">
        <v>7</v>
      </c>
      <c r="J223">
        <v>1</v>
      </c>
      <c r="K223">
        <f>(StudentData[[#This Row],[Midterm_Grade]]*40%)+(StudentData[[#This Row],[Final_Grade]]*60%)</f>
        <v>35.942</v>
      </c>
      <c r="L223">
        <f>StudentData[[#This Row],[Attendance_Percentage]]*40%+StudentData[[#This Row],[Assignments_Completed]]*2+StudentData[[#This Row],[Class_Participation]]*2+StudentData[[#This Row],[Projects_Submitted]]*4</f>
        <v>38.667999999999999</v>
      </c>
      <c r="M223">
        <f>StudentData[[#This Row],[Academic_Score]]*60%+StudentData[[#This Row],[Engagement_Score]]*30%+MIN(StudentData[[#This Row],[Study_Hours_per_Week]],20)/20*100*10%</f>
        <v>36.665599999999998</v>
      </c>
      <c r="N223" s="3" t="str" cm="1">
        <f t="array" ref="N22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23" s="3" t="str">
        <f t="shared" si="6"/>
        <v>High Risk</v>
      </c>
      <c r="P223" s="3" t="str">
        <f t="shared" si="7"/>
        <v>18-20</v>
      </c>
    </row>
    <row r="224" spans="1:16">
      <c r="A224" t="s">
        <v>258</v>
      </c>
      <c r="B224">
        <v>23</v>
      </c>
      <c r="C224" t="s">
        <v>5</v>
      </c>
      <c r="D224">
        <v>65.16</v>
      </c>
      <c r="E224">
        <v>8</v>
      </c>
      <c r="F224">
        <v>0.05</v>
      </c>
      <c r="G224">
        <v>49.04</v>
      </c>
      <c r="H224">
        <v>64.099999999999994</v>
      </c>
      <c r="I224">
        <v>15</v>
      </c>
      <c r="J224">
        <v>5</v>
      </c>
      <c r="K224">
        <f>(StudentData[[#This Row],[Midterm_Grade]]*40%)+(StudentData[[#This Row],[Final_Grade]]*60%)</f>
        <v>58.075999999999993</v>
      </c>
      <c r="L224">
        <f>StudentData[[#This Row],[Attendance_Percentage]]*40%+StudentData[[#This Row],[Assignments_Completed]]*2+StudentData[[#This Row],[Class_Participation]]*2+StudentData[[#This Row],[Projects_Submitted]]*4</f>
        <v>62.164000000000001</v>
      </c>
      <c r="M224">
        <f>StudentData[[#This Row],[Academic_Score]]*60%+StudentData[[#This Row],[Engagement_Score]]*30%+MIN(StudentData[[#This Row],[Study_Hours_per_Week]],20)/20*100*10%</f>
        <v>60.994799999999998</v>
      </c>
      <c r="N224" s="3" t="str" cm="1">
        <f t="array" ref="N224">_xlfn.IFS(StudentData[[#This Row],[Success_Score]]&gt;=85,"Exceptional",StudentData[[#This Row],[Success_Score]]&gt;=70,"Strong",StudentData[[#This Row],[Success_Score]]&gt;=55,"Developing",TRUE,"Needs Improvement")</f>
        <v>Developing</v>
      </c>
      <c r="O224" s="3" t="str">
        <f t="shared" si="6"/>
        <v>Medium Risk</v>
      </c>
      <c r="P224" s="3" t="str">
        <f t="shared" si="7"/>
        <v>21-23</v>
      </c>
    </row>
    <row r="225" spans="1:16">
      <c r="A225" t="s">
        <v>259</v>
      </c>
      <c r="B225">
        <v>21</v>
      </c>
      <c r="C225" t="s">
        <v>4</v>
      </c>
      <c r="D225">
        <v>55.05</v>
      </c>
      <c r="E225">
        <v>7</v>
      </c>
      <c r="F225">
        <v>9.3800000000000008</v>
      </c>
      <c r="G225">
        <v>16.95</v>
      </c>
      <c r="H225">
        <v>78.63</v>
      </c>
      <c r="I225">
        <v>13</v>
      </c>
      <c r="J225">
        <v>5</v>
      </c>
      <c r="K225">
        <f>(StudentData[[#This Row],[Midterm_Grade]]*40%)+(StudentData[[#This Row],[Final_Grade]]*60%)</f>
        <v>53.957999999999998</v>
      </c>
      <c r="L225">
        <f>StudentData[[#This Row],[Attendance_Percentage]]*40%+StudentData[[#This Row],[Assignments_Completed]]*2+StudentData[[#This Row],[Class_Participation]]*2+StudentData[[#This Row],[Projects_Submitted]]*4</f>
        <v>74.78</v>
      </c>
      <c r="M225">
        <f>StudentData[[#This Row],[Academic_Score]]*60%+StudentData[[#This Row],[Engagement_Score]]*30%+MIN(StudentData[[#This Row],[Study_Hours_per_Week]],20)/20*100*10%</f>
        <v>61.308800000000005</v>
      </c>
      <c r="N225" s="3" t="str" cm="1">
        <f t="array" ref="N225">_xlfn.IFS(StudentData[[#This Row],[Success_Score]]&gt;=85,"Exceptional",StudentData[[#This Row],[Success_Score]]&gt;=70,"Strong",StudentData[[#This Row],[Success_Score]]&gt;=55,"Developing",TRUE,"Needs Improvement")</f>
        <v>Developing</v>
      </c>
      <c r="O225" s="3" t="str">
        <f t="shared" si="6"/>
        <v>Medium Risk</v>
      </c>
      <c r="P225" s="3" t="str">
        <f t="shared" si="7"/>
        <v>21-23</v>
      </c>
    </row>
    <row r="226" spans="1:16">
      <c r="A226" t="s">
        <v>260</v>
      </c>
      <c r="B226">
        <v>19</v>
      </c>
      <c r="C226" t="s">
        <v>4</v>
      </c>
      <c r="D226">
        <v>84.61</v>
      </c>
      <c r="E226">
        <v>7</v>
      </c>
      <c r="F226">
        <v>4.1500000000000004</v>
      </c>
      <c r="G226">
        <v>5.0999999999999996</v>
      </c>
      <c r="H226">
        <v>40.51</v>
      </c>
      <c r="I226">
        <v>12</v>
      </c>
      <c r="J226">
        <v>5</v>
      </c>
      <c r="K226">
        <f>(StudentData[[#This Row],[Midterm_Grade]]*40%)+(StudentData[[#This Row],[Final_Grade]]*60%)</f>
        <v>26.345999999999997</v>
      </c>
      <c r="L226">
        <f>StudentData[[#This Row],[Attendance_Percentage]]*40%+StudentData[[#This Row],[Assignments_Completed]]*2+StudentData[[#This Row],[Class_Participation]]*2+StudentData[[#This Row],[Projects_Submitted]]*4</f>
        <v>76.144000000000005</v>
      </c>
      <c r="M226">
        <f>StudentData[[#This Row],[Academic_Score]]*60%+StudentData[[#This Row],[Engagement_Score]]*30%+MIN(StudentData[[#This Row],[Study_Hours_per_Week]],20)/20*100*10%</f>
        <v>44.650799999999997</v>
      </c>
      <c r="N226" s="3" t="str" cm="1">
        <f t="array" ref="N22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26" s="3" t="str">
        <f t="shared" si="6"/>
        <v>Medium Risk</v>
      </c>
      <c r="P226" s="3" t="str">
        <f t="shared" si="7"/>
        <v>18-20</v>
      </c>
    </row>
    <row r="227" spans="1:16">
      <c r="A227" t="s">
        <v>261</v>
      </c>
      <c r="B227">
        <v>19</v>
      </c>
      <c r="C227" t="s">
        <v>4</v>
      </c>
      <c r="D227">
        <v>53.11</v>
      </c>
      <c r="E227">
        <v>6</v>
      </c>
      <c r="F227">
        <v>4.0199999999999996</v>
      </c>
      <c r="G227">
        <v>61.75</v>
      </c>
      <c r="H227">
        <v>0.27</v>
      </c>
      <c r="I227">
        <v>12</v>
      </c>
      <c r="J227">
        <v>1</v>
      </c>
      <c r="K227">
        <f>(StudentData[[#This Row],[Midterm_Grade]]*40%)+(StudentData[[#This Row],[Final_Grade]]*60%)</f>
        <v>24.862000000000002</v>
      </c>
      <c r="L227">
        <f>StudentData[[#This Row],[Attendance_Percentage]]*40%+StudentData[[#This Row],[Assignments_Completed]]*2+StudentData[[#This Row],[Class_Participation]]*2+StudentData[[#This Row],[Projects_Submitted]]*4</f>
        <v>45.283999999999999</v>
      </c>
      <c r="M227">
        <f>StudentData[[#This Row],[Academic_Score]]*60%+StudentData[[#This Row],[Engagement_Score]]*30%+MIN(StudentData[[#This Row],[Study_Hours_per_Week]],20)/20*100*10%</f>
        <v>34.502400000000002</v>
      </c>
      <c r="N227" s="3" t="str" cm="1">
        <f t="array" ref="N22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27" s="3" t="str">
        <f t="shared" si="6"/>
        <v>High Risk</v>
      </c>
      <c r="P227" s="3" t="str">
        <f t="shared" si="7"/>
        <v>18-20</v>
      </c>
    </row>
    <row r="228" spans="1:16">
      <c r="A228" t="s">
        <v>262</v>
      </c>
      <c r="B228">
        <v>22</v>
      </c>
      <c r="C228" t="s">
        <v>5</v>
      </c>
      <c r="D228">
        <v>75.47</v>
      </c>
      <c r="E228">
        <v>3</v>
      </c>
      <c r="F228">
        <v>3.91</v>
      </c>
      <c r="G228">
        <v>20.78</v>
      </c>
      <c r="H228">
        <v>84.99</v>
      </c>
      <c r="I228">
        <v>4</v>
      </c>
      <c r="J228">
        <v>2</v>
      </c>
      <c r="K228">
        <f>(StudentData[[#This Row],[Midterm_Grade]]*40%)+(StudentData[[#This Row],[Final_Grade]]*60%)</f>
        <v>59.305999999999997</v>
      </c>
      <c r="L228">
        <f>StudentData[[#This Row],[Attendance_Percentage]]*40%+StudentData[[#This Row],[Assignments_Completed]]*2+StudentData[[#This Row],[Class_Participation]]*2+StudentData[[#This Row],[Projects_Submitted]]*4</f>
        <v>52.008000000000003</v>
      </c>
      <c r="M228">
        <f>StudentData[[#This Row],[Academic_Score]]*60%+StudentData[[#This Row],[Engagement_Score]]*30%+MIN(StudentData[[#This Row],[Study_Hours_per_Week]],20)/20*100*10%</f>
        <v>53.185999999999993</v>
      </c>
      <c r="N228" s="3" t="str" cm="1">
        <f t="array" ref="N22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28" s="3" t="str">
        <f t="shared" si="6"/>
        <v>Medium Risk</v>
      </c>
      <c r="P228" s="3" t="str">
        <f t="shared" si="7"/>
        <v>21-23</v>
      </c>
    </row>
    <row r="229" spans="1:16">
      <c r="A229" t="s">
        <v>263</v>
      </c>
      <c r="B229">
        <v>23</v>
      </c>
      <c r="C229" t="s">
        <v>4</v>
      </c>
      <c r="D229">
        <v>99.83</v>
      </c>
      <c r="E229">
        <v>1</v>
      </c>
      <c r="F229">
        <v>0.69</v>
      </c>
      <c r="G229">
        <v>58.77</v>
      </c>
      <c r="H229">
        <v>38.090000000000003</v>
      </c>
      <c r="I229">
        <v>15</v>
      </c>
      <c r="J229">
        <v>0</v>
      </c>
      <c r="K229">
        <f>(StudentData[[#This Row],[Midterm_Grade]]*40%)+(StudentData[[#This Row],[Final_Grade]]*60%)</f>
        <v>46.362000000000009</v>
      </c>
      <c r="L229">
        <f>StudentData[[#This Row],[Attendance_Percentage]]*40%+StudentData[[#This Row],[Assignments_Completed]]*2+StudentData[[#This Row],[Class_Participation]]*2+StudentData[[#This Row],[Projects_Submitted]]*4</f>
        <v>43.312000000000005</v>
      </c>
      <c r="M229">
        <f>StudentData[[#This Row],[Academic_Score]]*60%+StudentData[[#This Row],[Engagement_Score]]*30%+MIN(StudentData[[#This Row],[Study_Hours_per_Week]],20)/20*100*10%</f>
        <v>48.3108</v>
      </c>
      <c r="N229" s="3" t="str" cm="1">
        <f t="array" ref="N22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29" s="3" t="str">
        <f t="shared" si="6"/>
        <v>Medium Risk</v>
      </c>
      <c r="P229" s="3" t="str">
        <f t="shared" si="7"/>
        <v>21-23</v>
      </c>
    </row>
    <row r="230" spans="1:16">
      <c r="A230" t="s">
        <v>264</v>
      </c>
      <c r="B230">
        <v>18</v>
      </c>
      <c r="C230" t="s">
        <v>5</v>
      </c>
      <c r="D230">
        <v>90.7</v>
      </c>
      <c r="E230">
        <v>2</v>
      </c>
      <c r="F230">
        <v>6.38</v>
      </c>
      <c r="G230">
        <v>11.24</v>
      </c>
      <c r="H230">
        <v>49.6</v>
      </c>
      <c r="I230">
        <v>10</v>
      </c>
      <c r="J230">
        <v>4</v>
      </c>
      <c r="K230">
        <f>(StudentData[[#This Row],[Midterm_Grade]]*40%)+(StudentData[[#This Row],[Final_Grade]]*60%)</f>
        <v>34.256</v>
      </c>
      <c r="L230">
        <f>StudentData[[#This Row],[Attendance_Percentage]]*40%+StudentData[[#This Row],[Assignments_Completed]]*2+StudentData[[#This Row],[Class_Participation]]*2+StudentData[[#This Row],[Projects_Submitted]]*4</f>
        <v>69.039999999999992</v>
      </c>
      <c r="M230">
        <f>StudentData[[#This Row],[Academic_Score]]*60%+StudentData[[#This Row],[Engagement_Score]]*30%+MIN(StudentData[[#This Row],[Study_Hours_per_Week]],20)/20*100*10%</f>
        <v>46.265599999999992</v>
      </c>
      <c r="N230" s="3" t="str" cm="1">
        <f t="array" ref="N23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30" s="3" t="str">
        <f t="shared" si="6"/>
        <v>Medium Risk</v>
      </c>
      <c r="P230" s="3" t="str">
        <f t="shared" si="7"/>
        <v>18-20</v>
      </c>
    </row>
    <row r="231" spans="1:16">
      <c r="A231" t="s">
        <v>265</v>
      </c>
      <c r="B231">
        <v>22</v>
      </c>
      <c r="C231" t="s">
        <v>5</v>
      </c>
      <c r="D231">
        <v>80.760000000000005</v>
      </c>
      <c r="E231">
        <v>5</v>
      </c>
      <c r="F231">
        <v>7.33</v>
      </c>
      <c r="G231">
        <v>33.200000000000003</v>
      </c>
      <c r="H231">
        <v>0.78</v>
      </c>
      <c r="I231">
        <v>4</v>
      </c>
      <c r="J231">
        <v>0</v>
      </c>
      <c r="K231">
        <f>(StudentData[[#This Row],[Midterm_Grade]]*40%)+(StudentData[[#This Row],[Final_Grade]]*60%)</f>
        <v>13.748000000000001</v>
      </c>
      <c r="L231">
        <f>StudentData[[#This Row],[Attendance_Percentage]]*40%+StudentData[[#This Row],[Assignments_Completed]]*2+StudentData[[#This Row],[Class_Participation]]*2+StudentData[[#This Row],[Projects_Submitted]]*4</f>
        <v>56.963999999999999</v>
      </c>
      <c r="M231">
        <f>StudentData[[#This Row],[Academic_Score]]*60%+StudentData[[#This Row],[Engagement_Score]]*30%+MIN(StudentData[[#This Row],[Study_Hours_per_Week]],20)/20*100*10%</f>
        <v>27.338000000000001</v>
      </c>
      <c r="N231" s="3" t="str" cm="1">
        <f t="array" ref="N23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31" s="3" t="str">
        <f t="shared" si="6"/>
        <v>Medium Risk</v>
      </c>
      <c r="P231" s="3" t="str">
        <f t="shared" si="7"/>
        <v>21-23</v>
      </c>
    </row>
    <row r="232" spans="1:16">
      <c r="A232" t="s">
        <v>266</v>
      </c>
      <c r="B232">
        <v>23</v>
      </c>
      <c r="C232" t="s">
        <v>5</v>
      </c>
      <c r="D232">
        <v>65.31</v>
      </c>
      <c r="E232">
        <v>4</v>
      </c>
      <c r="F232">
        <v>6.76</v>
      </c>
      <c r="G232">
        <v>78.16</v>
      </c>
      <c r="H232">
        <v>49.21</v>
      </c>
      <c r="I232">
        <v>12</v>
      </c>
      <c r="J232">
        <v>0</v>
      </c>
      <c r="K232">
        <f>(StudentData[[#This Row],[Midterm_Grade]]*40%)+(StudentData[[#This Row],[Final_Grade]]*60%)</f>
        <v>60.79</v>
      </c>
      <c r="L232">
        <f>StudentData[[#This Row],[Attendance_Percentage]]*40%+StudentData[[#This Row],[Assignments_Completed]]*2+StudentData[[#This Row],[Class_Participation]]*2+StudentData[[#This Row],[Projects_Submitted]]*4</f>
        <v>47.644000000000005</v>
      </c>
      <c r="M232">
        <f>StudentData[[#This Row],[Academic_Score]]*60%+StudentData[[#This Row],[Engagement_Score]]*30%+MIN(StudentData[[#This Row],[Study_Hours_per_Week]],20)/20*100*10%</f>
        <v>56.767199999999995</v>
      </c>
      <c r="N232" s="3" t="str" cm="1">
        <f t="array" ref="N232">_xlfn.IFS(StudentData[[#This Row],[Success_Score]]&gt;=85,"Exceptional",StudentData[[#This Row],[Success_Score]]&gt;=70,"Strong",StudentData[[#This Row],[Success_Score]]&gt;=55,"Developing",TRUE,"Needs Improvement")</f>
        <v>Developing</v>
      </c>
      <c r="O232" s="3" t="str">
        <f t="shared" si="6"/>
        <v>Medium Risk</v>
      </c>
      <c r="P232" s="3" t="str">
        <f t="shared" si="7"/>
        <v>21-23</v>
      </c>
    </row>
    <row r="233" spans="1:16">
      <c r="A233" t="s">
        <v>267</v>
      </c>
      <c r="B233">
        <v>21</v>
      </c>
      <c r="C233" t="s">
        <v>4</v>
      </c>
      <c r="D233">
        <v>81.19</v>
      </c>
      <c r="E233">
        <v>7</v>
      </c>
      <c r="F233">
        <v>1.38</v>
      </c>
      <c r="G233">
        <v>43.71</v>
      </c>
      <c r="H233">
        <v>98.65</v>
      </c>
      <c r="I233">
        <v>10</v>
      </c>
      <c r="J233">
        <v>4</v>
      </c>
      <c r="K233">
        <f>(StudentData[[#This Row],[Midterm_Grade]]*40%)+(StudentData[[#This Row],[Final_Grade]]*60%)</f>
        <v>76.674000000000007</v>
      </c>
      <c r="L233">
        <f>StudentData[[#This Row],[Attendance_Percentage]]*40%+StudentData[[#This Row],[Assignments_Completed]]*2+StudentData[[#This Row],[Class_Participation]]*2+StudentData[[#This Row],[Projects_Submitted]]*4</f>
        <v>65.23599999999999</v>
      </c>
      <c r="M233">
        <f>StudentData[[#This Row],[Academic_Score]]*60%+StudentData[[#This Row],[Engagement_Score]]*30%+MIN(StudentData[[#This Row],[Study_Hours_per_Week]],20)/20*100*10%</f>
        <v>70.575199999999995</v>
      </c>
      <c r="N233" s="3" t="str" cm="1">
        <f t="array" ref="N233">_xlfn.IFS(StudentData[[#This Row],[Success_Score]]&gt;=85,"Exceptional",StudentData[[#This Row],[Success_Score]]&gt;=70,"Strong",StudentData[[#This Row],[Success_Score]]&gt;=55,"Developing",TRUE,"Needs Improvement")</f>
        <v>Strong</v>
      </c>
      <c r="O233" s="3" t="str">
        <f t="shared" si="6"/>
        <v>Low Risk</v>
      </c>
      <c r="P233" s="3" t="str">
        <f t="shared" si="7"/>
        <v>21-23</v>
      </c>
    </row>
    <row r="234" spans="1:16">
      <c r="A234" t="s">
        <v>268</v>
      </c>
      <c r="B234">
        <v>21</v>
      </c>
      <c r="C234" t="s">
        <v>4</v>
      </c>
      <c r="D234">
        <v>76.349999999999994</v>
      </c>
      <c r="E234">
        <v>5</v>
      </c>
      <c r="F234">
        <v>5.79</v>
      </c>
      <c r="G234">
        <v>62.77</v>
      </c>
      <c r="H234">
        <v>27.83</v>
      </c>
      <c r="I234">
        <v>18</v>
      </c>
      <c r="J234">
        <v>1</v>
      </c>
      <c r="K234">
        <f>(StudentData[[#This Row],[Midterm_Grade]]*40%)+(StudentData[[#This Row],[Final_Grade]]*60%)</f>
        <v>41.805999999999997</v>
      </c>
      <c r="L234">
        <f>StudentData[[#This Row],[Attendance_Percentage]]*40%+StudentData[[#This Row],[Assignments_Completed]]*2+StudentData[[#This Row],[Class_Participation]]*2+StudentData[[#This Row],[Projects_Submitted]]*4</f>
        <v>56.12</v>
      </c>
      <c r="M234">
        <f>StudentData[[#This Row],[Academic_Score]]*60%+StudentData[[#This Row],[Engagement_Score]]*30%+MIN(StudentData[[#This Row],[Study_Hours_per_Week]],20)/20*100*10%</f>
        <v>50.919599999999996</v>
      </c>
      <c r="N234" s="3" t="str" cm="1">
        <f t="array" ref="N23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34" s="3" t="str">
        <f t="shared" si="6"/>
        <v>Medium Risk</v>
      </c>
      <c r="P234" s="3" t="str">
        <f t="shared" si="7"/>
        <v>21-23</v>
      </c>
    </row>
    <row r="235" spans="1:16">
      <c r="A235" t="s">
        <v>269</v>
      </c>
      <c r="B235">
        <v>21</v>
      </c>
      <c r="C235" t="s">
        <v>4</v>
      </c>
      <c r="D235">
        <v>71.3</v>
      </c>
      <c r="E235">
        <v>5</v>
      </c>
      <c r="F235">
        <v>5.69</v>
      </c>
      <c r="G235">
        <v>64.75</v>
      </c>
      <c r="H235">
        <v>39.54</v>
      </c>
      <c r="I235">
        <v>2</v>
      </c>
      <c r="J235">
        <v>2</v>
      </c>
      <c r="K235">
        <f>(StudentData[[#This Row],[Midterm_Grade]]*40%)+(StudentData[[#This Row],[Final_Grade]]*60%)</f>
        <v>49.624000000000002</v>
      </c>
      <c r="L235">
        <f>StudentData[[#This Row],[Attendance_Percentage]]*40%+StudentData[[#This Row],[Assignments_Completed]]*2+StudentData[[#This Row],[Class_Participation]]*2+StudentData[[#This Row],[Projects_Submitted]]*4</f>
        <v>57.9</v>
      </c>
      <c r="M235">
        <f>StudentData[[#This Row],[Academic_Score]]*60%+StudentData[[#This Row],[Engagement_Score]]*30%+MIN(StudentData[[#This Row],[Study_Hours_per_Week]],20)/20*100*10%</f>
        <v>48.144399999999997</v>
      </c>
      <c r="N235" s="3" t="str" cm="1">
        <f t="array" ref="N23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35" s="3" t="str">
        <f t="shared" si="6"/>
        <v>Medium Risk</v>
      </c>
      <c r="P235" s="3" t="str">
        <f t="shared" si="7"/>
        <v>21-23</v>
      </c>
    </row>
    <row r="236" spans="1:16">
      <c r="A236" t="s">
        <v>270</v>
      </c>
      <c r="B236">
        <v>21</v>
      </c>
      <c r="C236" t="s">
        <v>5</v>
      </c>
      <c r="D236">
        <v>56.54</v>
      </c>
      <c r="E236">
        <v>0</v>
      </c>
      <c r="F236">
        <v>8.68</v>
      </c>
      <c r="G236">
        <v>84.38</v>
      </c>
      <c r="H236">
        <v>68.72</v>
      </c>
      <c r="I236">
        <v>14</v>
      </c>
      <c r="J236">
        <v>2</v>
      </c>
      <c r="K236">
        <f>(StudentData[[#This Row],[Midterm_Grade]]*40%)+(StudentData[[#This Row],[Final_Grade]]*60%)</f>
        <v>74.984000000000009</v>
      </c>
      <c r="L236">
        <f>StudentData[[#This Row],[Attendance_Percentage]]*40%+StudentData[[#This Row],[Assignments_Completed]]*2+StudentData[[#This Row],[Class_Participation]]*2+StudentData[[#This Row],[Projects_Submitted]]*4</f>
        <v>47.975999999999999</v>
      </c>
      <c r="M236">
        <f>StudentData[[#This Row],[Academic_Score]]*60%+StudentData[[#This Row],[Engagement_Score]]*30%+MIN(StudentData[[#This Row],[Study_Hours_per_Week]],20)/20*100*10%</f>
        <v>66.383200000000002</v>
      </c>
      <c r="N236" s="3" t="str" cm="1">
        <f t="array" ref="N236">_xlfn.IFS(StudentData[[#This Row],[Success_Score]]&gt;=85,"Exceptional",StudentData[[#This Row],[Success_Score]]&gt;=70,"Strong",StudentData[[#This Row],[Success_Score]]&gt;=55,"Developing",TRUE,"Needs Improvement")</f>
        <v>Developing</v>
      </c>
      <c r="O236" s="3" t="str">
        <f t="shared" si="6"/>
        <v>Medium Risk</v>
      </c>
      <c r="P236" s="3" t="str">
        <f t="shared" si="7"/>
        <v>21-23</v>
      </c>
    </row>
    <row r="237" spans="1:16">
      <c r="A237" t="s">
        <v>271</v>
      </c>
      <c r="B237">
        <v>21</v>
      </c>
      <c r="C237" t="s">
        <v>4</v>
      </c>
      <c r="D237">
        <v>94.33</v>
      </c>
      <c r="E237">
        <v>3</v>
      </c>
      <c r="F237">
        <v>3.79</v>
      </c>
      <c r="G237">
        <v>32.49</v>
      </c>
      <c r="H237">
        <v>81.48</v>
      </c>
      <c r="I237">
        <v>6</v>
      </c>
      <c r="J237">
        <v>0</v>
      </c>
      <c r="K237">
        <f>(StudentData[[#This Row],[Midterm_Grade]]*40%)+(StudentData[[#This Row],[Final_Grade]]*60%)</f>
        <v>61.884</v>
      </c>
      <c r="L237">
        <f>StudentData[[#This Row],[Attendance_Percentage]]*40%+StudentData[[#This Row],[Assignments_Completed]]*2+StudentData[[#This Row],[Class_Participation]]*2+StudentData[[#This Row],[Projects_Submitted]]*4</f>
        <v>51.311999999999998</v>
      </c>
      <c r="M237">
        <f>StudentData[[#This Row],[Academic_Score]]*60%+StudentData[[#This Row],[Engagement_Score]]*30%+MIN(StudentData[[#This Row],[Study_Hours_per_Week]],20)/20*100*10%</f>
        <v>55.524000000000001</v>
      </c>
      <c r="N237" s="3" t="str" cm="1">
        <f t="array" ref="N237">_xlfn.IFS(StudentData[[#This Row],[Success_Score]]&gt;=85,"Exceptional",StudentData[[#This Row],[Success_Score]]&gt;=70,"Strong",StudentData[[#This Row],[Success_Score]]&gt;=55,"Developing",TRUE,"Needs Improvement")</f>
        <v>Developing</v>
      </c>
      <c r="O237" s="3" t="str">
        <f t="shared" si="6"/>
        <v>Low Risk</v>
      </c>
      <c r="P237" s="3" t="str">
        <f t="shared" si="7"/>
        <v>21-23</v>
      </c>
    </row>
    <row r="238" spans="1:16">
      <c r="A238" t="s">
        <v>272</v>
      </c>
      <c r="B238">
        <v>23</v>
      </c>
      <c r="C238" t="s">
        <v>5</v>
      </c>
      <c r="D238">
        <v>72.489999999999995</v>
      </c>
      <c r="E238">
        <v>4</v>
      </c>
      <c r="F238">
        <v>3.71</v>
      </c>
      <c r="G238">
        <v>68.73</v>
      </c>
      <c r="H238">
        <v>41.74</v>
      </c>
      <c r="I238">
        <v>6</v>
      </c>
      <c r="J238">
        <v>4</v>
      </c>
      <c r="K238">
        <f>(StudentData[[#This Row],[Midterm_Grade]]*40%)+(StudentData[[#This Row],[Final_Grade]]*60%)</f>
        <v>52.536000000000001</v>
      </c>
      <c r="L238">
        <f>StudentData[[#This Row],[Attendance_Percentage]]*40%+StudentData[[#This Row],[Assignments_Completed]]*2+StudentData[[#This Row],[Class_Participation]]*2+StudentData[[#This Row],[Projects_Submitted]]*4</f>
        <v>60.415999999999997</v>
      </c>
      <c r="M238">
        <f>StudentData[[#This Row],[Academic_Score]]*60%+StudentData[[#This Row],[Engagement_Score]]*30%+MIN(StudentData[[#This Row],[Study_Hours_per_Week]],20)/20*100*10%</f>
        <v>52.6464</v>
      </c>
      <c r="N238" s="3" t="str" cm="1">
        <f t="array" ref="N23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38" s="3" t="str">
        <f t="shared" si="6"/>
        <v>Medium Risk</v>
      </c>
      <c r="P238" s="3" t="str">
        <f t="shared" si="7"/>
        <v>21-23</v>
      </c>
    </row>
    <row r="239" spans="1:16">
      <c r="A239" t="s">
        <v>273</v>
      </c>
      <c r="B239">
        <v>23</v>
      </c>
      <c r="C239" t="s">
        <v>4</v>
      </c>
      <c r="D239">
        <v>59.73</v>
      </c>
      <c r="E239">
        <v>10</v>
      </c>
      <c r="F239">
        <v>6.19</v>
      </c>
      <c r="G239">
        <v>96.16</v>
      </c>
      <c r="H239">
        <v>30.97</v>
      </c>
      <c r="I239">
        <v>5</v>
      </c>
      <c r="J239">
        <v>3</v>
      </c>
      <c r="K239">
        <f>(StudentData[[#This Row],[Midterm_Grade]]*40%)+(StudentData[[#This Row],[Final_Grade]]*60%)</f>
        <v>57.045999999999992</v>
      </c>
      <c r="L239">
        <f>StudentData[[#This Row],[Attendance_Percentage]]*40%+StudentData[[#This Row],[Assignments_Completed]]*2+StudentData[[#This Row],[Class_Participation]]*2+StudentData[[#This Row],[Projects_Submitted]]*4</f>
        <v>68.271999999999991</v>
      </c>
      <c r="M239">
        <f>StudentData[[#This Row],[Academic_Score]]*60%+StudentData[[#This Row],[Engagement_Score]]*30%+MIN(StudentData[[#This Row],[Study_Hours_per_Week]],20)/20*100*10%</f>
        <v>57.209199999999996</v>
      </c>
      <c r="N239" s="3" t="str" cm="1">
        <f t="array" ref="N239">_xlfn.IFS(StudentData[[#This Row],[Success_Score]]&gt;=85,"Exceptional",StudentData[[#This Row],[Success_Score]]&gt;=70,"Strong",StudentData[[#This Row],[Success_Score]]&gt;=55,"Developing",TRUE,"Needs Improvement")</f>
        <v>Developing</v>
      </c>
      <c r="O239" s="3" t="str">
        <f t="shared" si="6"/>
        <v>Medium Risk</v>
      </c>
      <c r="P239" s="3" t="str">
        <f t="shared" si="7"/>
        <v>21-23</v>
      </c>
    </row>
    <row r="240" spans="1:16">
      <c r="A240" t="s">
        <v>274</v>
      </c>
      <c r="B240">
        <v>20</v>
      </c>
      <c r="C240" t="s">
        <v>5</v>
      </c>
      <c r="D240">
        <v>68.39</v>
      </c>
      <c r="E240">
        <v>2</v>
      </c>
      <c r="F240">
        <v>6.33</v>
      </c>
      <c r="G240">
        <v>73.02</v>
      </c>
      <c r="H240">
        <v>93.78</v>
      </c>
      <c r="I240">
        <v>2</v>
      </c>
      <c r="J240">
        <v>1</v>
      </c>
      <c r="K240">
        <f>(StudentData[[#This Row],[Midterm_Grade]]*40%)+(StudentData[[#This Row],[Final_Grade]]*60%)</f>
        <v>85.475999999999999</v>
      </c>
      <c r="L240">
        <f>StudentData[[#This Row],[Attendance_Percentage]]*40%+StudentData[[#This Row],[Assignments_Completed]]*2+StudentData[[#This Row],[Class_Participation]]*2+StudentData[[#This Row],[Projects_Submitted]]*4</f>
        <v>48.016000000000005</v>
      </c>
      <c r="M240">
        <f>StudentData[[#This Row],[Academic_Score]]*60%+StudentData[[#This Row],[Engagement_Score]]*30%+MIN(StudentData[[#This Row],[Study_Hours_per_Week]],20)/20*100*10%</f>
        <v>66.690399999999997</v>
      </c>
      <c r="N240" s="3" t="str" cm="1">
        <f t="array" ref="N240">_xlfn.IFS(StudentData[[#This Row],[Success_Score]]&gt;=85,"Exceptional",StudentData[[#This Row],[Success_Score]]&gt;=70,"Strong",StudentData[[#This Row],[Success_Score]]&gt;=55,"Developing",TRUE,"Needs Improvement")</f>
        <v>Developing</v>
      </c>
      <c r="O240" s="3" t="str">
        <f t="shared" si="6"/>
        <v>Medium Risk</v>
      </c>
      <c r="P240" s="3" t="str">
        <f t="shared" si="7"/>
        <v>18-20</v>
      </c>
    </row>
    <row r="241" spans="1:16">
      <c r="A241" t="s">
        <v>275</v>
      </c>
      <c r="B241">
        <v>25</v>
      </c>
      <c r="C241" t="s">
        <v>5</v>
      </c>
      <c r="D241">
        <v>70.709999999999994</v>
      </c>
      <c r="E241">
        <v>8</v>
      </c>
      <c r="F241">
        <v>4.6900000000000004</v>
      </c>
      <c r="G241">
        <v>48.99</v>
      </c>
      <c r="H241">
        <v>67.709999999999994</v>
      </c>
      <c r="I241">
        <v>12</v>
      </c>
      <c r="J241">
        <v>0</v>
      </c>
      <c r="K241">
        <f>(StudentData[[#This Row],[Midterm_Grade]]*40%)+(StudentData[[#This Row],[Final_Grade]]*60%)</f>
        <v>60.222000000000001</v>
      </c>
      <c r="L241">
        <f>StudentData[[#This Row],[Attendance_Percentage]]*40%+StudentData[[#This Row],[Assignments_Completed]]*2+StudentData[[#This Row],[Class_Participation]]*2+StudentData[[#This Row],[Projects_Submitted]]*4</f>
        <v>53.664000000000001</v>
      </c>
      <c r="M241">
        <f>StudentData[[#This Row],[Academic_Score]]*60%+StudentData[[#This Row],[Engagement_Score]]*30%+MIN(StudentData[[#This Row],[Study_Hours_per_Week]],20)/20*100*10%</f>
        <v>58.232399999999998</v>
      </c>
      <c r="N241" s="3" t="str" cm="1">
        <f t="array" ref="N241">_xlfn.IFS(StudentData[[#This Row],[Success_Score]]&gt;=85,"Exceptional",StudentData[[#This Row],[Success_Score]]&gt;=70,"Strong",StudentData[[#This Row],[Success_Score]]&gt;=55,"Developing",TRUE,"Needs Improvement")</f>
        <v>Developing</v>
      </c>
      <c r="O241" s="3" t="str">
        <f t="shared" si="6"/>
        <v>Low Risk</v>
      </c>
      <c r="P241" s="3" t="str">
        <f t="shared" si="7"/>
        <v>24-25</v>
      </c>
    </row>
    <row r="242" spans="1:16">
      <c r="A242" t="s">
        <v>276</v>
      </c>
      <c r="B242">
        <v>19</v>
      </c>
      <c r="C242" t="s">
        <v>4</v>
      </c>
      <c r="D242">
        <v>91.38</v>
      </c>
      <c r="E242">
        <v>0</v>
      </c>
      <c r="F242">
        <v>4.43</v>
      </c>
      <c r="G242">
        <v>63.07</v>
      </c>
      <c r="H242">
        <v>11.9</v>
      </c>
      <c r="I242">
        <v>6</v>
      </c>
      <c r="J242">
        <v>2</v>
      </c>
      <c r="K242">
        <f>(StudentData[[#This Row],[Midterm_Grade]]*40%)+(StudentData[[#This Row],[Final_Grade]]*60%)</f>
        <v>32.368000000000002</v>
      </c>
      <c r="L242">
        <f>StudentData[[#This Row],[Attendance_Percentage]]*40%+StudentData[[#This Row],[Assignments_Completed]]*2+StudentData[[#This Row],[Class_Participation]]*2+StudentData[[#This Row],[Projects_Submitted]]*4</f>
        <v>53.411999999999999</v>
      </c>
      <c r="M242">
        <f>StudentData[[#This Row],[Academic_Score]]*60%+StudentData[[#This Row],[Engagement_Score]]*30%+MIN(StudentData[[#This Row],[Study_Hours_per_Week]],20)/20*100*10%</f>
        <v>38.444400000000002</v>
      </c>
      <c r="N242" s="3" t="str" cm="1">
        <f t="array" ref="N24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42" s="3" t="str">
        <f t="shared" si="6"/>
        <v>Medium Risk</v>
      </c>
      <c r="P242" s="3" t="str">
        <f t="shared" si="7"/>
        <v>18-20</v>
      </c>
    </row>
    <row r="243" spans="1:16">
      <c r="A243" t="s">
        <v>277</v>
      </c>
      <c r="B243">
        <v>24</v>
      </c>
      <c r="C243" t="s">
        <v>5</v>
      </c>
      <c r="D243">
        <v>86.68</v>
      </c>
      <c r="E243">
        <v>5</v>
      </c>
      <c r="F243">
        <v>4.9400000000000004</v>
      </c>
      <c r="G243">
        <v>73.97</v>
      </c>
      <c r="H243">
        <v>6.89</v>
      </c>
      <c r="I243">
        <v>4</v>
      </c>
      <c r="J243">
        <v>5</v>
      </c>
      <c r="K243">
        <f>(StudentData[[#This Row],[Midterm_Grade]]*40%)+(StudentData[[#This Row],[Final_Grade]]*60%)</f>
        <v>33.722000000000001</v>
      </c>
      <c r="L243">
        <f>StudentData[[#This Row],[Attendance_Percentage]]*40%+StudentData[[#This Row],[Assignments_Completed]]*2+StudentData[[#This Row],[Class_Participation]]*2+StudentData[[#This Row],[Projects_Submitted]]*4</f>
        <v>74.552000000000007</v>
      </c>
      <c r="M243">
        <f>StudentData[[#This Row],[Academic_Score]]*60%+StudentData[[#This Row],[Engagement_Score]]*30%+MIN(StudentData[[#This Row],[Study_Hours_per_Week]],20)/20*100*10%</f>
        <v>44.598799999999997</v>
      </c>
      <c r="N243" s="3" t="str" cm="1">
        <f t="array" ref="N24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43" s="3" t="str">
        <f t="shared" si="6"/>
        <v>Medium Risk</v>
      </c>
      <c r="P243" s="3" t="str">
        <f t="shared" si="7"/>
        <v>24-25</v>
      </c>
    </row>
    <row r="244" spans="1:16">
      <c r="A244" t="s">
        <v>278</v>
      </c>
      <c r="B244">
        <v>21</v>
      </c>
      <c r="C244" t="s">
        <v>4</v>
      </c>
      <c r="D244">
        <v>88.47</v>
      </c>
      <c r="E244">
        <v>5</v>
      </c>
      <c r="F244">
        <v>8.61</v>
      </c>
      <c r="G244">
        <v>61.23</v>
      </c>
      <c r="H244">
        <v>48.35</v>
      </c>
      <c r="I244">
        <v>17</v>
      </c>
      <c r="J244">
        <v>5</v>
      </c>
      <c r="K244">
        <f>(StudentData[[#This Row],[Midterm_Grade]]*40%)+(StudentData[[#This Row],[Final_Grade]]*60%)</f>
        <v>53.501999999999995</v>
      </c>
      <c r="L244">
        <f>StudentData[[#This Row],[Attendance_Percentage]]*40%+StudentData[[#This Row],[Assignments_Completed]]*2+StudentData[[#This Row],[Class_Participation]]*2+StudentData[[#This Row],[Projects_Submitted]]*4</f>
        <v>82.608000000000004</v>
      </c>
      <c r="M244">
        <f>StudentData[[#This Row],[Academic_Score]]*60%+StudentData[[#This Row],[Engagement_Score]]*30%+MIN(StudentData[[#This Row],[Study_Hours_per_Week]],20)/20*100*10%</f>
        <v>65.383600000000001</v>
      </c>
      <c r="N244" s="3" t="str" cm="1">
        <f t="array" ref="N244">_xlfn.IFS(StudentData[[#This Row],[Success_Score]]&gt;=85,"Exceptional",StudentData[[#This Row],[Success_Score]]&gt;=70,"Strong",StudentData[[#This Row],[Success_Score]]&gt;=55,"Developing",TRUE,"Needs Improvement")</f>
        <v>Developing</v>
      </c>
      <c r="O244" s="3" t="str">
        <f t="shared" si="6"/>
        <v>Medium Risk</v>
      </c>
      <c r="P244" s="3" t="str">
        <f t="shared" si="7"/>
        <v>21-23</v>
      </c>
    </row>
    <row r="245" spans="1:16">
      <c r="A245" t="s">
        <v>279</v>
      </c>
      <c r="B245">
        <v>18</v>
      </c>
      <c r="C245" t="s">
        <v>4</v>
      </c>
      <c r="D245">
        <v>50.55</v>
      </c>
      <c r="E245">
        <v>9</v>
      </c>
      <c r="F245">
        <v>4.6100000000000003</v>
      </c>
      <c r="G245">
        <v>1.67</v>
      </c>
      <c r="H245">
        <v>22.01</v>
      </c>
      <c r="I245">
        <v>7</v>
      </c>
      <c r="J245">
        <v>4</v>
      </c>
      <c r="K245">
        <f>(StudentData[[#This Row],[Midterm_Grade]]*40%)+(StudentData[[#This Row],[Final_Grade]]*60%)</f>
        <v>13.874000000000001</v>
      </c>
      <c r="L245">
        <f>StudentData[[#This Row],[Attendance_Percentage]]*40%+StudentData[[#This Row],[Assignments_Completed]]*2+StudentData[[#This Row],[Class_Participation]]*2+StudentData[[#This Row],[Projects_Submitted]]*4</f>
        <v>63.44</v>
      </c>
      <c r="M245">
        <f>StudentData[[#This Row],[Academic_Score]]*60%+StudentData[[#This Row],[Engagement_Score]]*30%+MIN(StudentData[[#This Row],[Study_Hours_per_Week]],20)/20*100*10%</f>
        <v>30.856400000000001</v>
      </c>
      <c r="N245" s="3" t="str" cm="1">
        <f t="array" ref="N24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45" s="3" t="str">
        <f t="shared" si="6"/>
        <v>High Risk</v>
      </c>
      <c r="P245" s="3" t="str">
        <f t="shared" si="7"/>
        <v>18-20</v>
      </c>
    </row>
    <row r="246" spans="1:16">
      <c r="A246" t="s">
        <v>280</v>
      </c>
      <c r="B246">
        <v>24</v>
      </c>
      <c r="C246" t="s">
        <v>5</v>
      </c>
      <c r="D246">
        <v>70.81</v>
      </c>
      <c r="E246">
        <v>4</v>
      </c>
      <c r="F246">
        <v>9.4</v>
      </c>
      <c r="G246">
        <v>19.48</v>
      </c>
      <c r="H246">
        <v>25.4</v>
      </c>
      <c r="I246">
        <v>16</v>
      </c>
      <c r="J246">
        <v>4</v>
      </c>
      <c r="K246">
        <f>(StudentData[[#This Row],[Midterm_Grade]]*40%)+(StudentData[[#This Row],[Final_Grade]]*60%)</f>
        <v>23.032</v>
      </c>
      <c r="L246">
        <f>StudentData[[#This Row],[Attendance_Percentage]]*40%+StudentData[[#This Row],[Assignments_Completed]]*2+StudentData[[#This Row],[Class_Participation]]*2+StudentData[[#This Row],[Projects_Submitted]]*4</f>
        <v>71.123999999999995</v>
      </c>
      <c r="M246">
        <f>StudentData[[#This Row],[Academic_Score]]*60%+StudentData[[#This Row],[Engagement_Score]]*30%+MIN(StudentData[[#This Row],[Study_Hours_per_Week]],20)/20*100*10%</f>
        <v>43.156399999999998</v>
      </c>
      <c r="N246" s="3" t="str" cm="1">
        <f t="array" ref="N24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46" s="3" t="str">
        <f t="shared" si="6"/>
        <v>Medium Risk</v>
      </c>
      <c r="P246" s="3" t="str">
        <f t="shared" si="7"/>
        <v>24-25</v>
      </c>
    </row>
    <row r="247" spans="1:16">
      <c r="A247" t="s">
        <v>281</v>
      </c>
      <c r="B247">
        <v>23</v>
      </c>
      <c r="C247" t="s">
        <v>4</v>
      </c>
      <c r="D247">
        <v>74.069999999999993</v>
      </c>
      <c r="E247">
        <v>4</v>
      </c>
      <c r="F247">
        <v>5.04</v>
      </c>
      <c r="G247">
        <v>81.05</v>
      </c>
      <c r="H247">
        <v>87.77</v>
      </c>
      <c r="I247">
        <v>19</v>
      </c>
      <c r="J247">
        <v>0</v>
      </c>
      <c r="K247">
        <f>(StudentData[[#This Row],[Midterm_Grade]]*40%)+(StudentData[[#This Row],[Final_Grade]]*60%)</f>
        <v>85.081999999999994</v>
      </c>
      <c r="L247">
        <f>StudentData[[#This Row],[Attendance_Percentage]]*40%+StudentData[[#This Row],[Assignments_Completed]]*2+StudentData[[#This Row],[Class_Participation]]*2+StudentData[[#This Row],[Projects_Submitted]]*4</f>
        <v>47.707999999999998</v>
      </c>
      <c r="M247">
        <f>StudentData[[#This Row],[Academic_Score]]*60%+StudentData[[#This Row],[Engagement_Score]]*30%+MIN(StudentData[[#This Row],[Study_Hours_per_Week]],20)/20*100*10%</f>
        <v>74.861599999999996</v>
      </c>
      <c r="N247" s="3" t="str" cm="1">
        <f t="array" ref="N247">_xlfn.IFS(StudentData[[#This Row],[Success_Score]]&gt;=85,"Exceptional",StudentData[[#This Row],[Success_Score]]&gt;=70,"Strong",StudentData[[#This Row],[Success_Score]]&gt;=55,"Developing",TRUE,"Needs Improvement")</f>
        <v>Strong</v>
      </c>
      <c r="O247" s="3" t="str">
        <f t="shared" si="6"/>
        <v>Low Risk</v>
      </c>
      <c r="P247" s="3" t="str">
        <f t="shared" si="7"/>
        <v>21-23</v>
      </c>
    </row>
    <row r="248" spans="1:16">
      <c r="A248" t="s">
        <v>282</v>
      </c>
      <c r="B248">
        <v>18</v>
      </c>
      <c r="C248" t="s">
        <v>5</v>
      </c>
      <c r="D248">
        <v>50.96</v>
      </c>
      <c r="E248">
        <v>9</v>
      </c>
      <c r="F248">
        <v>9.49</v>
      </c>
      <c r="G248">
        <v>27.27</v>
      </c>
      <c r="H248">
        <v>8.9600000000000009</v>
      </c>
      <c r="I248">
        <v>0</v>
      </c>
      <c r="J248">
        <v>3</v>
      </c>
      <c r="K248">
        <f>(StudentData[[#This Row],[Midterm_Grade]]*40%)+(StudentData[[#This Row],[Final_Grade]]*60%)</f>
        <v>16.284000000000002</v>
      </c>
      <c r="L248">
        <f>StudentData[[#This Row],[Attendance_Percentage]]*40%+StudentData[[#This Row],[Assignments_Completed]]*2+StudentData[[#This Row],[Class_Participation]]*2+StudentData[[#This Row],[Projects_Submitted]]*4</f>
        <v>69.364000000000004</v>
      </c>
      <c r="M248">
        <f>StudentData[[#This Row],[Academic_Score]]*60%+StudentData[[#This Row],[Engagement_Score]]*30%+MIN(StudentData[[#This Row],[Study_Hours_per_Week]],20)/20*100*10%</f>
        <v>30.579599999999999</v>
      </c>
      <c r="N248" s="3" t="str" cm="1">
        <f t="array" ref="N24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48" s="3" t="str">
        <f t="shared" si="6"/>
        <v>High Risk</v>
      </c>
      <c r="P248" s="3" t="str">
        <f t="shared" si="7"/>
        <v>18-20</v>
      </c>
    </row>
    <row r="249" spans="1:16">
      <c r="A249" t="s">
        <v>283</v>
      </c>
      <c r="B249">
        <v>18</v>
      </c>
      <c r="C249" t="s">
        <v>4</v>
      </c>
      <c r="D249">
        <v>62.99</v>
      </c>
      <c r="E249">
        <v>4</v>
      </c>
      <c r="F249">
        <v>8.33</v>
      </c>
      <c r="G249">
        <v>73.16</v>
      </c>
      <c r="H249">
        <v>71.540000000000006</v>
      </c>
      <c r="I249">
        <v>13</v>
      </c>
      <c r="J249">
        <v>2</v>
      </c>
      <c r="K249">
        <f>(StudentData[[#This Row],[Midterm_Grade]]*40%)+(StudentData[[#This Row],[Final_Grade]]*60%)</f>
        <v>72.188000000000002</v>
      </c>
      <c r="L249">
        <f>StudentData[[#This Row],[Attendance_Percentage]]*40%+StudentData[[#This Row],[Assignments_Completed]]*2+StudentData[[#This Row],[Class_Participation]]*2+StudentData[[#This Row],[Projects_Submitted]]*4</f>
        <v>57.855999999999995</v>
      </c>
      <c r="M249">
        <f>StudentData[[#This Row],[Academic_Score]]*60%+StudentData[[#This Row],[Engagement_Score]]*30%+MIN(StudentData[[#This Row],[Study_Hours_per_Week]],20)/20*100*10%</f>
        <v>67.169600000000003</v>
      </c>
      <c r="N249" s="3" t="str" cm="1">
        <f t="array" ref="N249">_xlfn.IFS(StudentData[[#This Row],[Success_Score]]&gt;=85,"Exceptional",StudentData[[#This Row],[Success_Score]]&gt;=70,"Strong",StudentData[[#This Row],[Success_Score]]&gt;=55,"Developing",TRUE,"Needs Improvement")</f>
        <v>Developing</v>
      </c>
      <c r="O249" s="3" t="str">
        <f t="shared" si="6"/>
        <v>Medium Risk</v>
      </c>
      <c r="P249" s="3" t="str">
        <f t="shared" si="7"/>
        <v>18-20</v>
      </c>
    </row>
    <row r="250" spans="1:16">
      <c r="A250" t="s">
        <v>284</v>
      </c>
      <c r="B250">
        <v>18</v>
      </c>
      <c r="C250" t="s">
        <v>6</v>
      </c>
      <c r="D250">
        <v>88.01</v>
      </c>
      <c r="E250">
        <v>5</v>
      </c>
      <c r="F250">
        <v>3.62</v>
      </c>
      <c r="G250">
        <v>37.21</v>
      </c>
      <c r="H250">
        <v>27.11</v>
      </c>
      <c r="I250">
        <v>16</v>
      </c>
      <c r="J250">
        <v>0</v>
      </c>
      <c r="K250">
        <f>(StudentData[[#This Row],[Midterm_Grade]]*40%)+(StudentData[[#This Row],[Final_Grade]]*60%)</f>
        <v>31.15</v>
      </c>
      <c r="L250">
        <f>StudentData[[#This Row],[Attendance_Percentage]]*40%+StudentData[[#This Row],[Assignments_Completed]]*2+StudentData[[#This Row],[Class_Participation]]*2+StudentData[[#This Row],[Projects_Submitted]]*4</f>
        <v>52.444000000000003</v>
      </c>
      <c r="M250">
        <f>StudentData[[#This Row],[Academic_Score]]*60%+StudentData[[#This Row],[Engagement_Score]]*30%+MIN(StudentData[[#This Row],[Study_Hours_per_Week]],20)/20*100*10%</f>
        <v>42.423199999999994</v>
      </c>
      <c r="N250" s="3" t="str" cm="1">
        <f t="array" ref="N25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50" s="3" t="str">
        <f t="shared" si="6"/>
        <v>Medium Risk</v>
      </c>
      <c r="P250" s="3" t="str">
        <f t="shared" si="7"/>
        <v>18-20</v>
      </c>
    </row>
    <row r="251" spans="1:16">
      <c r="A251" t="s">
        <v>285</v>
      </c>
      <c r="B251">
        <v>20</v>
      </c>
      <c r="C251" t="s">
        <v>4</v>
      </c>
      <c r="D251">
        <v>56.86</v>
      </c>
      <c r="E251">
        <v>7</v>
      </c>
      <c r="F251">
        <v>8.64</v>
      </c>
      <c r="G251">
        <v>52.19</v>
      </c>
      <c r="H251">
        <v>76.03</v>
      </c>
      <c r="I251">
        <v>9</v>
      </c>
      <c r="J251">
        <v>3</v>
      </c>
      <c r="K251">
        <f>(StudentData[[#This Row],[Midterm_Grade]]*40%)+(StudentData[[#This Row],[Final_Grade]]*60%)</f>
        <v>66.494</v>
      </c>
      <c r="L251">
        <f>StudentData[[#This Row],[Attendance_Percentage]]*40%+StudentData[[#This Row],[Assignments_Completed]]*2+StudentData[[#This Row],[Class_Participation]]*2+StudentData[[#This Row],[Projects_Submitted]]*4</f>
        <v>66.024000000000001</v>
      </c>
      <c r="M251">
        <f>StudentData[[#This Row],[Academic_Score]]*60%+StudentData[[#This Row],[Engagement_Score]]*30%+MIN(StudentData[[#This Row],[Study_Hours_per_Week]],20)/20*100*10%</f>
        <v>64.203599999999994</v>
      </c>
      <c r="N251" s="3" t="str" cm="1">
        <f t="array" ref="N251">_xlfn.IFS(StudentData[[#This Row],[Success_Score]]&gt;=85,"Exceptional",StudentData[[#This Row],[Success_Score]]&gt;=70,"Strong",StudentData[[#This Row],[Success_Score]]&gt;=55,"Developing",TRUE,"Needs Improvement")</f>
        <v>Developing</v>
      </c>
      <c r="O251" s="3" t="str">
        <f t="shared" si="6"/>
        <v>Medium Risk</v>
      </c>
      <c r="P251" s="3" t="str">
        <f t="shared" si="7"/>
        <v>18-20</v>
      </c>
    </row>
    <row r="252" spans="1:16">
      <c r="A252" t="s">
        <v>286</v>
      </c>
      <c r="B252">
        <v>23</v>
      </c>
      <c r="C252" t="s">
        <v>5</v>
      </c>
      <c r="D252">
        <v>76.77</v>
      </c>
      <c r="E252">
        <v>1</v>
      </c>
      <c r="F252">
        <v>1.1000000000000001</v>
      </c>
      <c r="G252">
        <v>6.8</v>
      </c>
      <c r="H252">
        <v>72.239999999999995</v>
      </c>
      <c r="I252">
        <v>11</v>
      </c>
      <c r="J252">
        <v>4</v>
      </c>
      <c r="K252">
        <f>(StudentData[[#This Row],[Midterm_Grade]]*40%)+(StudentData[[#This Row],[Final_Grade]]*60%)</f>
        <v>46.063999999999993</v>
      </c>
      <c r="L252">
        <f>StudentData[[#This Row],[Attendance_Percentage]]*40%+StudentData[[#This Row],[Assignments_Completed]]*2+StudentData[[#This Row],[Class_Participation]]*2+StudentData[[#This Row],[Projects_Submitted]]*4</f>
        <v>50.908000000000001</v>
      </c>
      <c r="M252">
        <f>StudentData[[#This Row],[Academic_Score]]*60%+StudentData[[#This Row],[Engagement_Score]]*30%+MIN(StudentData[[#This Row],[Study_Hours_per_Week]],20)/20*100*10%</f>
        <v>48.410799999999995</v>
      </c>
      <c r="N252" s="3" t="str" cm="1">
        <f t="array" ref="N25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52" s="3" t="str">
        <f t="shared" si="6"/>
        <v>Medium Risk</v>
      </c>
      <c r="P252" s="3" t="str">
        <f t="shared" si="7"/>
        <v>21-23</v>
      </c>
    </row>
    <row r="253" spans="1:16">
      <c r="A253" t="s">
        <v>287</v>
      </c>
      <c r="B253">
        <v>18</v>
      </c>
      <c r="C253" t="s">
        <v>6</v>
      </c>
      <c r="D253">
        <v>60.76</v>
      </c>
      <c r="E253">
        <v>5</v>
      </c>
      <c r="F253">
        <v>9.25</v>
      </c>
      <c r="G253">
        <v>18.12</v>
      </c>
      <c r="H253">
        <v>0.74</v>
      </c>
      <c r="I253">
        <v>15</v>
      </c>
      <c r="J253">
        <v>5</v>
      </c>
      <c r="K253">
        <f>(StudentData[[#This Row],[Midterm_Grade]]*40%)+(StudentData[[#This Row],[Final_Grade]]*60%)</f>
        <v>7.6920000000000011</v>
      </c>
      <c r="L253">
        <f>StudentData[[#This Row],[Attendance_Percentage]]*40%+StudentData[[#This Row],[Assignments_Completed]]*2+StudentData[[#This Row],[Class_Participation]]*2+StudentData[[#This Row],[Projects_Submitted]]*4</f>
        <v>72.804000000000002</v>
      </c>
      <c r="M253">
        <f>StudentData[[#This Row],[Academic_Score]]*60%+StudentData[[#This Row],[Engagement_Score]]*30%+MIN(StudentData[[#This Row],[Study_Hours_per_Week]],20)/20*100*10%</f>
        <v>33.956400000000002</v>
      </c>
      <c r="N253" s="3" t="str" cm="1">
        <f t="array" ref="N25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53" s="3" t="str">
        <f t="shared" si="6"/>
        <v>Medium Risk</v>
      </c>
      <c r="P253" s="3" t="str">
        <f t="shared" si="7"/>
        <v>18-20</v>
      </c>
    </row>
    <row r="254" spans="1:16">
      <c r="A254" t="s">
        <v>288</v>
      </c>
      <c r="B254">
        <v>21</v>
      </c>
      <c r="C254" t="s">
        <v>4</v>
      </c>
      <c r="D254">
        <v>50.61</v>
      </c>
      <c r="E254">
        <v>0</v>
      </c>
      <c r="F254">
        <v>6.32</v>
      </c>
      <c r="G254">
        <v>95.72</v>
      </c>
      <c r="H254">
        <v>50.91</v>
      </c>
      <c r="I254">
        <v>13</v>
      </c>
      <c r="J254">
        <v>1</v>
      </c>
      <c r="K254">
        <f>(StudentData[[#This Row],[Midterm_Grade]]*40%)+(StudentData[[#This Row],[Final_Grade]]*60%)</f>
        <v>68.834000000000003</v>
      </c>
      <c r="L254">
        <f>StudentData[[#This Row],[Attendance_Percentage]]*40%+StudentData[[#This Row],[Assignments_Completed]]*2+StudentData[[#This Row],[Class_Participation]]*2+StudentData[[#This Row],[Projects_Submitted]]*4</f>
        <v>36.884</v>
      </c>
      <c r="M254">
        <f>StudentData[[#This Row],[Academic_Score]]*60%+StudentData[[#This Row],[Engagement_Score]]*30%+MIN(StudentData[[#This Row],[Study_Hours_per_Week]],20)/20*100*10%</f>
        <v>58.865600000000001</v>
      </c>
      <c r="N254" s="3" t="str" cm="1">
        <f t="array" ref="N254">_xlfn.IFS(StudentData[[#This Row],[Success_Score]]&gt;=85,"Exceptional",StudentData[[#This Row],[Success_Score]]&gt;=70,"Strong",StudentData[[#This Row],[Success_Score]]&gt;=55,"Developing",TRUE,"Needs Improvement")</f>
        <v>Developing</v>
      </c>
      <c r="O254" s="3" t="str">
        <f t="shared" si="6"/>
        <v>Medium Risk</v>
      </c>
      <c r="P254" s="3" t="str">
        <f t="shared" si="7"/>
        <v>21-23</v>
      </c>
    </row>
    <row r="255" spans="1:16">
      <c r="A255" t="s">
        <v>289</v>
      </c>
      <c r="B255">
        <v>22</v>
      </c>
      <c r="C255" t="s">
        <v>5</v>
      </c>
      <c r="D255">
        <v>62.06</v>
      </c>
      <c r="E255">
        <v>3</v>
      </c>
      <c r="F255">
        <v>0.54</v>
      </c>
      <c r="G255">
        <v>89.01</v>
      </c>
      <c r="H255">
        <v>13.93</v>
      </c>
      <c r="I255">
        <v>15</v>
      </c>
      <c r="J255">
        <v>5</v>
      </c>
      <c r="K255">
        <f>(StudentData[[#This Row],[Midterm_Grade]]*40%)+(StudentData[[#This Row],[Final_Grade]]*60%)</f>
        <v>43.962000000000003</v>
      </c>
      <c r="L255">
        <f>StudentData[[#This Row],[Attendance_Percentage]]*40%+StudentData[[#This Row],[Assignments_Completed]]*2+StudentData[[#This Row],[Class_Participation]]*2+StudentData[[#This Row],[Projects_Submitted]]*4</f>
        <v>51.904000000000003</v>
      </c>
      <c r="M255">
        <f>StudentData[[#This Row],[Academic_Score]]*60%+StudentData[[#This Row],[Engagement_Score]]*30%+MIN(StudentData[[#This Row],[Study_Hours_per_Week]],20)/20*100*10%</f>
        <v>49.448400000000007</v>
      </c>
      <c r="N255" s="3" t="str" cm="1">
        <f t="array" ref="N25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55" s="3" t="str">
        <f t="shared" si="6"/>
        <v>Medium Risk</v>
      </c>
      <c r="P255" s="3" t="str">
        <f t="shared" si="7"/>
        <v>21-23</v>
      </c>
    </row>
    <row r="256" spans="1:16">
      <c r="A256" t="s">
        <v>290</v>
      </c>
      <c r="B256">
        <v>18</v>
      </c>
      <c r="C256" t="s">
        <v>5</v>
      </c>
      <c r="D256">
        <v>98.79</v>
      </c>
      <c r="E256">
        <v>9</v>
      </c>
      <c r="F256">
        <v>6.44</v>
      </c>
      <c r="G256">
        <v>65.23</v>
      </c>
      <c r="H256">
        <v>86.62</v>
      </c>
      <c r="I256">
        <v>7</v>
      </c>
      <c r="J256">
        <v>2</v>
      </c>
      <c r="K256">
        <f>(StudentData[[#This Row],[Midterm_Grade]]*40%)+(StudentData[[#This Row],[Final_Grade]]*60%)</f>
        <v>78.064000000000007</v>
      </c>
      <c r="L256">
        <f>StudentData[[#This Row],[Attendance_Percentage]]*40%+StudentData[[#This Row],[Assignments_Completed]]*2+StudentData[[#This Row],[Class_Participation]]*2+StudentData[[#This Row],[Projects_Submitted]]*4</f>
        <v>78.396000000000001</v>
      </c>
      <c r="M256">
        <f>StudentData[[#This Row],[Academic_Score]]*60%+StudentData[[#This Row],[Engagement_Score]]*30%+MIN(StudentData[[#This Row],[Study_Hours_per_Week]],20)/20*100*10%</f>
        <v>73.857200000000006</v>
      </c>
      <c r="N256" s="3" t="str" cm="1">
        <f t="array" ref="N256">_xlfn.IFS(StudentData[[#This Row],[Success_Score]]&gt;=85,"Exceptional",StudentData[[#This Row],[Success_Score]]&gt;=70,"Strong",StudentData[[#This Row],[Success_Score]]&gt;=55,"Developing",TRUE,"Needs Improvement")</f>
        <v>Strong</v>
      </c>
      <c r="O256" s="3" t="str">
        <f t="shared" si="6"/>
        <v>Low Risk</v>
      </c>
      <c r="P256" s="3" t="str">
        <f t="shared" si="7"/>
        <v>18-20</v>
      </c>
    </row>
    <row r="257" spans="1:16">
      <c r="A257" t="s">
        <v>291</v>
      </c>
      <c r="B257">
        <v>20</v>
      </c>
      <c r="C257" t="s">
        <v>4</v>
      </c>
      <c r="D257">
        <v>90.08</v>
      </c>
      <c r="E257">
        <v>2</v>
      </c>
      <c r="F257">
        <v>9.74</v>
      </c>
      <c r="G257">
        <v>45.96</v>
      </c>
      <c r="H257">
        <v>87.16</v>
      </c>
      <c r="I257">
        <v>9</v>
      </c>
      <c r="J257">
        <v>2</v>
      </c>
      <c r="K257">
        <f>(StudentData[[#This Row],[Midterm_Grade]]*40%)+(StudentData[[#This Row],[Final_Grade]]*60%)</f>
        <v>70.680000000000007</v>
      </c>
      <c r="L257">
        <f>StudentData[[#This Row],[Attendance_Percentage]]*40%+StudentData[[#This Row],[Assignments_Completed]]*2+StudentData[[#This Row],[Class_Participation]]*2+StudentData[[#This Row],[Projects_Submitted]]*4</f>
        <v>67.512</v>
      </c>
      <c r="M257">
        <f>StudentData[[#This Row],[Academic_Score]]*60%+StudentData[[#This Row],[Engagement_Score]]*30%+MIN(StudentData[[#This Row],[Study_Hours_per_Week]],20)/20*100*10%</f>
        <v>67.161599999999993</v>
      </c>
      <c r="N257" s="3" t="str" cm="1">
        <f t="array" ref="N257">_xlfn.IFS(StudentData[[#This Row],[Success_Score]]&gt;=85,"Exceptional",StudentData[[#This Row],[Success_Score]]&gt;=70,"Strong",StudentData[[#This Row],[Success_Score]]&gt;=55,"Developing",TRUE,"Needs Improvement")</f>
        <v>Developing</v>
      </c>
      <c r="O257" s="3" t="str">
        <f t="shared" si="6"/>
        <v>Low Risk</v>
      </c>
      <c r="P257" s="3" t="str">
        <f t="shared" si="7"/>
        <v>18-20</v>
      </c>
    </row>
    <row r="258" spans="1:16">
      <c r="A258" t="s">
        <v>292</v>
      </c>
      <c r="B258">
        <v>24</v>
      </c>
      <c r="C258" t="s">
        <v>4</v>
      </c>
      <c r="D258">
        <v>97.98</v>
      </c>
      <c r="E258">
        <v>8</v>
      </c>
      <c r="F258">
        <v>0.7</v>
      </c>
      <c r="G258">
        <v>67.58</v>
      </c>
      <c r="H258">
        <v>41.83</v>
      </c>
      <c r="I258">
        <v>16</v>
      </c>
      <c r="J258">
        <v>5</v>
      </c>
      <c r="K258">
        <f>(StudentData[[#This Row],[Midterm_Grade]]*40%)+(StudentData[[#This Row],[Final_Grade]]*60%)</f>
        <v>52.129999999999995</v>
      </c>
      <c r="L258">
        <f>StudentData[[#This Row],[Attendance_Percentage]]*40%+StudentData[[#This Row],[Assignments_Completed]]*2+StudentData[[#This Row],[Class_Participation]]*2+StudentData[[#This Row],[Projects_Submitted]]*4</f>
        <v>76.592000000000013</v>
      </c>
      <c r="M258">
        <f>StudentData[[#This Row],[Academic_Score]]*60%+StudentData[[#This Row],[Engagement_Score]]*30%+MIN(StudentData[[#This Row],[Study_Hours_per_Week]],20)/20*100*10%</f>
        <v>62.255600000000001</v>
      </c>
      <c r="N258" s="3" t="str" cm="1">
        <f t="array" ref="N258">_xlfn.IFS(StudentData[[#This Row],[Success_Score]]&gt;=85,"Exceptional",StudentData[[#This Row],[Success_Score]]&gt;=70,"Strong",StudentData[[#This Row],[Success_Score]]&gt;=55,"Developing",TRUE,"Needs Improvement")</f>
        <v>Developing</v>
      </c>
      <c r="O258" s="3" t="str">
        <f t="shared" ref="O258:O321" si="8">IF(AND(D258&lt;60,K258&lt;50),"High Risk",IF(OR(D258&lt;70,K258&lt;60),"Medium Risk","Low Risk"))</f>
        <v>Medium Risk</v>
      </c>
      <c r="P258" s="3" t="str">
        <f t="shared" ref="P258:P321" si="9">IF(B258&lt;=20,"18-20",IF(B258&lt;=23,"21-23","24-25"))</f>
        <v>24-25</v>
      </c>
    </row>
    <row r="259" spans="1:16">
      <c r="A259" t="s">
        <v>293</v>
      </c>
      <c r="B259">
        <v>23</v>
      </c>
      <c r="C259" t="s">
        <v>4</v>
      </c>
      <c r="D259">
        <v>74.39</v>
      </c>
      <c r="E259">
        <v>2</v>
      </c>
      <c r="F259">
        <v>5.55</v>
      </c>
      <c r="G259">
        <v>61.86</v>
      </c>
      <c r="H259">
        <v>44.44</v>
      </c>
      <c r="I259">
        <v>17</v>
      </c>
      <c r="J259">
        <v>5</v>
      </c>
      <c r="K259">
        <f>(StudentData[[#This Row],[Midterm_Grade]]*40%)+(StudentData[[#This Row],[Final_Grade]]*60%)</f>
        <v>51.408000000000001</v>
      </c>
      <c r="L259">
        <f>StudentData[[#This Row],[Attendance_Percentage]]*40%+StudentData[[#This Row],[Assignments_Completed]]*2+StudentData[[#This Row],[Class_Participation]]*2+StudentData[[#This Row],[Projects_Submitted]]*4</f>
        <v>64.855999999999995</v>
      </c>
      <c r="M259">
        <f>StudentData[[#This Row],[Academic_Score]]*60%+StudentData[[#This Row],[Engagement_Score]]*30%+MIN(StudentData[[#This Row],[Study_Hours_per_Week]],20)/20*100*10%</f>
        <v>58.801599999999993</v>
      </c>
      <c r="N259" s="3" t="str" cm="1">
        <f t="array" ref="N259">_xlfn.IFS(StudentData[[#This Row],[Success_Score]]&gt;=85,"Exceptional",StudentData[[#This Row],[Success_Score]]&gt;=70,"Strong",StudentData[[#This Row],[Success_Score]]&gt;=55,"Developing",TRUE,"Needs Improvement")</f>
        <v>Developing</v>
      </c>
      <c r="O259" s="3" t="str">
        <f t="shared" si="8"/>
        <v>Medium Risk</v>
      </c>
      <c r="P259" s="3" t="str">
        <f t="shared" si="9"/>
        <v>21-23</v>
      </c>
    </row>
    <row r="260" spans="1:16">
      <c r="A260" t="s">
        <v>294</v>
      </c>
      <c r="B260">
        <v>25</v>
      </c>
      <c r="C260" t="s">
        <v>4</v>
      </c>
      <c r="D260">
        <v>55.49</v>
      </c>
      <c r="E260">
        <v>5</v>
      </c>
      <c r="F260">
        <v>7.48</v>
      </c>
      <c r="G260">
        <v>56.86</v>
      </c>
      <c r="H260">
        <v>30.33</v>
      </c>
      <c r="I260">
        <v>19</v>
      </c>
      <c r="J260">
        <v>3</v>
      </c>
      <c r="K260">
        <f>(StudentData[[#This Row],[Midterm_Grade]]*40%)+(StudentData[[#This Row],[Final_Grade]]*60%)</f>
        <v>40.941999999999993</v>
      </c>
      <c r="L260">
        <f>StudentData[[#This Row],[Attendance_Percentage]]*40%+StudentData[[#This Row],[Assignments_Completed]]*2+StudentData[[#This Row],[Class_Participation]]*2+StudentData[[#This Row],[Projects_Submitted]]*4</f>
        <v>59.155999999999999</v>
      </c>
      <c r="M260">
        <f>StudentData[[#This Row],[Academic_Score]]*60%+StudentData[[#This Row],[Engagement_Score]]*30%+MIN(StudentData[[#This Row],[Study_Hours_per_Week]],20)/20*100*10%</f>
        <v>51.811999999999998</v>
      </c>
      <c r="N260" s="3" t="str" cm="1">
        <f t="array" ref="N26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60" s="3" t="str">
        <f t="shared" si="8"/>
        <v>High Risk</v>
      </c>
      <c r="P260" s="3" t="str">
        <f t="shared" si="9"/>
        <v>24-25</v>
      </c>
    </row>
    <row r="261" spans="1:16">
      <c r="A261" t="s">
        <v>295</v>
      </c>
      <c r="B261">
        <v>20</v>
      </c>
      <c r="C261" t="s">
        <v>4</v>
      </c>
      <c r="D261">
        <v>77.400000000000006</v>
      </c>
      <c r="E261">
        <v>0</v>
      </c>
      <c r="F261">
        <v>8.1</v>
      </c>
      <c r="G261">
        <v>5.92</v>
      </c>
      <c r="H261">
        <v>71.66</v>
      </c>
      <c r="I261">
        <v>15</v>
      </c>
      <c r="J261">
        <v>0</v>
      </c>
      <c r="K261">
        <f>(StudentData[[#This Row],[Midterm_Grade]]*40%)+(StudentData[[#This Row],[Final_Grade]]*60%)</f>
        <v>45.363999999999997</v>
      </c>
      <c r="L261">
        <f>StudentData[[#This Row],[Attendance_Percentage]]*40%+StudentData[[#This Row],[Assignments_Completed]]*2+StudentData[[#This Row],[Class_Participation]]*2+StudentData[[#This Row],[Projects_Submitted]]*4</f>
        <v>47.160000000000004</v>
      </c>
      <c r="M261">
        <f>StudentData[[#This Row],[Academic_Score]]*60%+StudentData[[#This Row],[Engagement_Score]]*30%+MIN(StudentData[[#This Row],[Study_Hours_per_Week]],20)/20*100*10%</f>
        <v>48.866399999999999</v>
      </c>
      <c r="N261" s="3" t="str" cm="1">
        <f t="array" ref="N26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61" s="3" t="str">
        <f t="shared" si="8"/>
        <v>Medium Risk</v>
      </c>
      <c r="P261" s="3" t="str">
        <f t="shared" si="9"/>
        <v>18-20</v>
      </c>
    </row>
    <row r="262" spans="1:16">
      <c r="A262" t="s">
        <v>296</v>
      </c>
      <c r="B262">
        <v>18</v>
      </c>
      <c r="C262" t="s">
        <v>5</v>
      </c>
      <c r="D262">
        <v>72.72</v>
      </c>
      <c r="E262">
        <v>5</v>
      </c>
      <c r="F262">
        <v>4.1399999999999997</v>
      </c>
      <c r="G262">
        <v>63.28</v>
      </c>
      <c r="H262">
        <v>35.869999999999997</v>
      </c>
      <c r="I262">
        <v>16</v>
      </c>
      <c r="J262">
        <v>4</v>
      </c>
      <c r="K262">
        <f>(StudentData[[#This Row],[Midterm_Grade]]*40%)+(StudentData[[#This Row],[Final_Grade]]*60%)</f>
        <v>46.834000000000003</v>
      </c>
      <c r="L262">
        <f>StudentData[[#This Row],[Attendance_Percentage]]*40%+StudentData[[#This Row],[Assignments_Completed]]*2+StudentData[[#This Row],[Class_Participation]]*2+StudentData[[#This Row],[Projects_Submitted]]*4</f>
        <v>63.368000000000002</v>
      </c>
      <c r="M262">
        <f>StudentData[[#This Row],[Academic_Score]]*60%+StudentData[[#This Row],[Engagement_Score]]*30%+MIN(StudentData[[#This Row],[Study_Hours_per_Week]],20)/20*100*10%</f>
        <v>55.110799999999998</v>
      </c>
      <c r="N262" s="3" t="str" cm="1">
        <f t="array" ref="N262">_xlfn.IFS(StudentData[[#This Row],[Success_Score]]&gt;=85,"Exceptional",StudentData[[#This Row],[Success_Score]]&gt;=70,"Strong",StudentData[[#This Row],[Success_Score]]&gt;=55,"Developing",TRUE,"Needs Improvement")</f>
        <v>Developing</v>
      </c>
      <c r="O262" s="3" t="str">
        <f t="shared" si="8"/>
        <v>Medium Risk</v>
      </c>
      <c r="P262" s="3" t="str">
        <f t="shared" si="9"/>
        <v>18-20</v>
      </c>
    </row>
    <row r="263" spans="1:16">
      <c r="A263" t="s">
        <v>297</v>
      </c>
      <c r="B263">
        <v>23</v>
      </c>
      <c r="C263" t="s">
        <v>5</v>
      </c>
      <c r="D263">
        <v>92.22</v>
      </c>
      <c r="E263">
        <v>3</v>
      </c>
      <c r="F263">
        <v>2.04</v>
      </c>
      <c r="G263">
        <v>76.89</v>
      </c>
      <c r="H263">
        <v>26.78</v>
      </c>
      <c r="I263">
        <v>15</v>
      </c>
      <c r="J263">
        <v>3</v>
      </c>
      <c r="K263">
        <f>(StudentData[[#This Row],[Midterm_Grade]]*40%)+(StudentData[[#This Row],[Final_Grade]]*60%)</f>
        <v>46.823999999999998</v>
      </c>
      <c r="L263">
        <f>StudentData[[#This Row],[Attendance_Percentage]]*40%+StudentData[[#This Row],[Assignments_Completed]]*2+StudentData[[#This Row],[Class_Participation]]*2+StudentData[[#This Row],[Projects_Submitted]]*4</f>
        <v>58.967999999999996</v>
      </c>
      <c r="M263">
        <f>StudentData[[#This Row],[Academic_Score]]*60%+StudentData[[#This Row],[Engagement_Score]]*30%+MIN(StudentData[[#This Row],[Study_Hours_per_Week]],20)/20*100*10%</f>
        <v>53.28479999999999</v>
      </c>
      <c r="N263" s="3" t="str" cm="1">
        <f t="array" ref="N26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63" s="3" t="str">
        <f t="shared" si="8"/>
        <v>Medium Risk</v>
      </c>
      <c r="P263" s="3" t="str">
        <f t="shared" si="9"/>
        <v>21-23</v>
      </c>
    </row>
    <row r="264" spans="1:16">
      <c r="A264" t="s">
        <v>298</v>
      </c>
      <c r="B264">
        <v>22</v>
      </c>
      <c r="C264" t="s">
        <v>5</v>
      </c>
      <c r="D264">
        <v>54.9</v>
      </c>
      <c r="E264">
        <v>7</v>
      </c>
      <c r="F264">
        <v>0.42</v>
      </c>
      <c r="G264">
        <v>99.41</v>
      </c>
      <c r="H264">
        <v>43.22</v>
      </c>
      <c r="I264">
        <v>18</v>
      </c>
      <c r="J264">
        <v>1</v>
      </c>
      <c r="K264">
        <f>(StudentData[[#This Row],[Midterm_Grade]]*40%)+(StudentData[[#This Row],[Final_Grade]]*60%)</f>
        <v>65.695999999999998</v>
      </c>
      <c r="L264">
        <f>StudentData[[#This Row],[Attendance_Percentage]]*40%+StudentData[[#This Row],[Assignments_Completed]]*2+StudentData[[#This Row],[Class_Participation]]*2+StudentData[[#This Row],[Projects_Submitted]]*4</f>
        <v>40.800000000000004</v>
      </c>
      <c r="M264">
        <f>StudentData[[#This Row],[Academic_Score]]*60%+StudentData[[#This Row],[Engagement_Score]]*30%+MIN(StudentData[[#This Row],[Study_Hours_per_Week]],20)/20*100*10%</f>
        <v>60.657600000000002</v>
      </c>
      <c r="N264" s="3" t="str" cm="1">
        <f t="array" ref="N264">_xlfn.IFS(StudentData[[#This Row],[Success_Score]]&gt;=85,"Exceptional",StudentData[[#This Row],[Success_Score]]&gt;=70,"Strong",StudentData[[#This Row],[Success_Score]]&gt;=55,"Developing",TRUE,"Needs Improvement")</f>
        <v>Developing</v>
      </c>
      <c r="O264" s="3" t="str">
        <f t="shared" si="8"/>
        <v>Medium Risk</v>
      </c>
      <c r="P264" s="3" t="str">
        <f t="shared" si="9"/>
        <v>21-23</v>
      </c>
    </row>
    <row r="265" spans="1:16">
      <c r="A265" t="s">
        <v>299</v>
      </c>
      <c r="B265">
        <v>18</v>
      </c>
      <c r="C265" t="s">
        <v>4</v>
      </c>
      <c r="D265">
        <v>74.41</v>
      </c>
      <c r="E265">
        <v>10</v>
      </c>
      <c r="F265">
        <v>5.8</v>
      </c>
      <c r="G265">
        <v>1.1100000000000001</v>
      </c>
      <c r="H265">
        <v>9.15</v>
      </c>
      <c r="I265">
        <v>7</v>
      </c>
      <c r="J265">
        <v>5</v>
      </c>
      <c r="K265">
        <f>(StudentData[[#This Row],[Midterm_Grade]]*40%)+(StudentData[[#This Row],[Final_Grade]]*60%)</f>
        <v>5.9340000000000002</v>
      </c>
      <c r="L265">
        <f>StudentData[[#This Row],[Attendance_Percentage]]*40%+StudentData[[#This Row],[Assignments_Completed]]*2+StudentData[[#This Row],[Class_Participation]]*2+StudentData[[#This Row],[Projects_Submitted]]*4</f>
        <v>81.364000000000004</v>
      </c>
      <c r="M265">
        <f>StudentData[[#This Row],[Academic_Score]]*60%+StudentData[[#This Row],[Engagement_Score]]*30%+MIN(StudentData[[#This Row],[Study_Hours_per_Week]],20)/20*100*10%</f>
        <v>31.469600000000003</v>
      </c>
      <c r="N265" s="3" t="str" cm="1">
        <f t="array" ref="N26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65" s="3" t="str">
        <f t="shared" si="8"/>
        <v>Medium Risk</v>
      </c>
      <c r="P265" s="3" t="str">
        <f t="shared" si="9"/>
        <v>18-20</v>
      </c>
    </row>
    <row r="266" spans="1:16">
      <c r="A266" t="s">
        <v>300</v>
      </c>
      <c r="B266">
        <v>20</v>
      </c>
      <c r="C266" t="s">
        <v>5</v>
      </c>
      <c r="D266">
        <v>57.5</v>
      </c>
      <c r="E266">
        <v>8</v>
      </c>
      <c r="F266">
        <v>4.53</v>
      </c>
      <c r="G266">
        <v>73.02</v>
      </c>
      <c r="H266">
        <v>74.66</v>
      </c>
      <c r="I266">
        <v>5</v>
      </c>
      <c r="J266">
        <v>1</v>
      </c>
      <c r="K266">
        <f>(StudentData[[#This Row],[Midterm_Grade]]*40%)+(StudentData[[#This Row],[Final_Grade]]*60%)</f>
        <v>74.003999999999991</v>
      </c>
      <c r="L266">
        <f>StudentData[[#This Row],[Attendance_Percentage]]*40%+StudentData[[#This Row],[Assignments_Completed]]*2+StudentData[[#This Row],[Class_Participation]]*2+StudentData[[#This Row],[Projects_Submitted]]*4</f>
        <v>52.06</v>
      </c>
      <c r="M266">
        <f>StudentData[[#This Row],[Academic_Score]]*60%+StudentData[[#This Row],[Engagement_Score]]*30%+MIN(StudentData[[#This Row],[Study_Hours_per_Week]],20)/20*100*10%</f>
        <v>62.520399999999995</v>
      </c>
      <c r="N266" s="3" t="str" cm="1">
        <f t="array" ref="N266">_xlfn.IFS(StudentData[[#This Row],[Success_Score]]&gt;=85,"Exceptional",StudentData[[#This Row],[Success_Score]]&gt;=70,"Strong",StudentData[[#This Row],[Success_Score]]&gt;=55,"Developing",TRUE,"Needs Improvement")</f>
        <v>Developing</v>
      </c>
      <c r="O266" s="3" t="str">
        <f t="shared" si="8"/>
        <v>Medium Risk</v>
      </c>
      <c r="P266" s="3" t="str">
        <f t="shared" si="9"/>
        <v>18-20</v>
      </c>
    </row>
    <row r="267" spans="1:16">
      <c r="A267" t="s">
        <v>301</v>
      </c>
      <c r="B267">
        <v>19</v>
      </c>
      <c r="C267" t="s">
        <v>4</v>
      </c>
      <c r="D267">
        <v>66.23</v>
      </c>
      <c r="E267">
        <v>3</v>
      </c>
      <c r="F267">
        <v>9.49</v>
      </c>
      <c r="G267">
        <v>57.18</v>
      </c>
      <c r="H267">
        <v>1.26</v>
      </c>
      <c r="I267">
        <v>5</v>
      </c>
      <c r="J267">
        <v>1</v>
      </c>
      <c r="K267">
        <f>(StudentData[[#This Row],[Midterm_Grade]]*40%)+(StudentData[[#This Row],[Final_Grade]]*60%)</f>
        <v>23.628</v>
      </c>
      <c r="L267">
        <f>StudentData[[#This Row],[Attendance_Percentage]]*40%+StudentData[[#This Row],[Assignments_Completed]]*2+StudentData[[#This Row],[Class_Participation]]*2+StudentData[[#This Row],[Projects_Submitted]]*4</f>
        <v>55.472000000000008</v>
      </c>
      <c r="M267">
        <f>StudentData[[#This Row],[Academic_Score]]*60%+StudentData[[#This Row],[Engagement_Score]]*30%+MIN(StudentData[[#This Row],[Study_Hours_per_Week]],20)/20*100*10%</f>
        <v>33.318399999999997</v>
      </c>
      <c r="N267" s="3" t="str" cm="1">
        <f t="array" ref="N26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67" s="3" t="str">
        <f t="shared" si="8"/>
        <v>Medium Risk</v>
      </c>
      <c r="P267" s="3" t="str">
        <f t="shared" si="9"/>
        <v>18-20</v>
      </c>
    </row>
    <row r="268" spans="1:16">
      <c r="A268" t="s">
        <v>302</v>
      </c>
      <c r="B268">
        <v>21</v>
      </c>
      <c r="C268" t="s">
        <v>4</v>
      </c>
      <c r="D268">
        <v>86.87</v>
      </c>
      <c r="E268">
        <v>9</v>
      </c>
      <c r="F268">
        <v>0.61</v>
      </c>
      <c r="G268">
        <v>43.41</v>
      </c>
      <c r="H268">
        <v>64.45</v>
      </c>
      <c r="I268">
        <v>8</v>
      </c>
      <c r="J268">
        <v>3</v>
      </c>
      <c r="K268">
        <f>(StudentData[[#This Row],[Midterm_Grade]]*40%)+(StudentData[[#This Row],[Final_Grade]]*60%)</f>
        <v>56.034000000000006</v>
      </c>
      <c r="L268">
        <f>StudentData[[#This Row],[Attendance_Percentage]]*40%+StudentData[[#This Row],[Assignments_Completed]]*2+StudentData[[#This Row],[Class_Participation]]*2+StudentData[[#This Row],[Projects_Submitted]]*4</f>
        <v>65.968000000000004</v>
      </c>
      <c r="M268">
        <f>StudentData[[#This Row],[Academic_Score]]*60%+StudentData[[#This Row],[Engagement_Score]]*30%+MIN(StudentData[[#This Row],[Study_Hours_per_Week]],20)/20*100*10%</f>
        <v>57.410800000000009</v>
      </c>
      <c r="N268" s="3" t="str" cm="1">
        <f t="array" ref="N268">_xlfn.IFS(StudentData[[#This Row],[Success_Score]]&gt;=85,"Exceptional",StudentData[[#This Row],[Success_Score]]&gt;=70,"Strong",StudentData[[#This Row],[Success_Score]]&gt;=55,"Developing",TRUE,"Needs Improvement")</f>
        <v>Developing</v>
      </c>
      <c r="O268" s="3" t="str">
        <f t="shared" si="8"/>
        <v>Medium Risk</v>
      </c>
      <c r="P268" s="3" t="str">
        <f t="shared" si="9"/>
        <v>21-23</v>
      </c>
    </row>
    <row r="269" spans="1:16">
      <c r="A269" t="s">
        <v>303</v>
      </c>
      <c r="B269">
        <v>25</v>
      </c>
      <c r="C269" t="s">
        <v>4</v>
      </c>
      <c r="D269">
        <v>73.8</v>
      </c>
      <c r="E269">
        <v>9</v>
      </c>
      <c r="F269">
        <v>6.85</v>
      </c>
      <c r="G269">
        <v>12.76</v>
      </c>
      <c r="H269">
        <v>18.29</v>
      </c>
      <c r="I269">
        <v>3</v>
      </c>
      <c r="J269">
        <v>4</v>
      </c>
      <c r="K269">
        <f>(StudentData[[#This Row],[Midterm_Grade]]*40%)+(StudentData[[#This Row],[Final_Grade]]*60%)</f>
        <v>16.077999999999999</v>
      </c>
      <c r="L269">
        <f>StudentData[[#This Row],[Attendance_Percentage]]*40%+StudentData[[#This Row],[Assignments_Completed]]*2+StudentData[[#This Row],[Class_Participation]]*2+StudentData[[#This Row],[Projects_Submitted]]*4</f>
        <v>77.22</v>
      </c>
      <c r="M269">
        <f>StudentData[[#This Row],[Academic_Score]]*60%+StudentData[[#This Row],[Engagement_Score]]*30%+MIN(StudentData[[#This Row],[Study_Hours_per_Week]],20)/20*100*10%</f>
        <v>34.312799999999996</v>
      </c>
      <c r="N269" s="3" t="str" cm="1">
        <f t="array" ref="N26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69" s="3" t="str">
        <f t="shared" si="8"/>
        <v>Medium Risk</v>
      </c>
      <c r="P269" s="3" t="str">
        <f t="shared" si="9"/>
        <v>24-25</v>
      </c>
    </row>
    <row r="270" spans="1:16">
      <c r="A270" t="s">
        <v>304</v>
      </c>
      <c r="B270">
        <v>24</v>
      </c>
      <c r="C270" t="s">
        <v>5</v>
      </c>
      <c r="D270">
        <v>68.790000000000006</v>
      </c>
      <c r="E270">
        <v>5</v>
      </c>
      <c r="F270">
        <v>0.25</v>
      </c>
      <c r="G270">
        <v>40.909999999999997</v>
      </c>
      <c r="H270">
        <v>23.24</v>
      </c>
      <c r="I270">
        <v>11</v>
      </c>
      <c r="J270">
        <v>2</v>
      </c>
      <c r="K270">
        <f>(StudentData[[#This Row],[Midterm_Grade]]*40%)+(StudentData[[#This Row],[Final_Grade]]*60%)</f>
        <v>30.308</v>
      </c>
      <c r="L270">
        <f>StudentData[[#This Row],[Attendance_Percentage]]*40%+StudentData[[#This Row],[Assignments_Completed]]*2+StudentData[[#This Row],[Class_Participation]]*2+StudentData[[#This Row],[Projects_Submitted]]*4</f>
        <v>46.016000000000005</v>
      </c>
      <c r="M270">
        <f>StudentData[[#This Row],[Academic_Score]]*60%+StudentData[[#This Row],[Engagement_Score]]*30%+MIN(StudentData[[#This Row],[Study_Hours_per_Week]],20)/20*100*10%</f>
        <v>37.489600000000003</v>
      </c>
      <c r="N270" s="3" t="str" cm="1">
        <f t="array" ref="N27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70" s="3" t="str">
        <f t="shared" si="8"/>
        <v>Medium Risk</v>
      </c>
      <c r="P270" s="3" t="str">
        <f t="shared" si="9"/>
        <v>24-25</v>
      </c>
    </row>
    <row r="271" spans="1:16">
      <c r="A271" t="s">
        <v>305</v>
      </c>
      <c r="B271">
        <v>20</v>
      </c>
      <c r="C271" t="s">
        <v>4</v>
      </c>
      <c r="D271">
        <v>69.72</v>
      </c>
      <c r="E271">
        <v>0</v>
      </c>
      <c r="F271">
        <v>1.71</v>
      </c>
      <c r="G271">
        <v>35.44</v>
      </c>
      <c r="H271">
        <v>63.56</v>
      </c>
      <c r="I271">
        <v>11</v>
      </c>
      <c r="J271">
        <v>0</v>
      </c>
      <c r="K271">
        <f>(StudentData[[#This Row],[Midterm_Grade]]*40%)+(StudentData[[#This Row],[Final_Grade]]*60%)</f>
        <v>52.312000000000005</v>
      </c>
      <c r="L271">
        <f>StudentData[[#This Row],[Attendance_Percentage]]*40%+StudentData[[#This Row],[Assignments_Completed]]*2+StudentData[[#This Row],[Class_Participation]]*2+StudentData[[#This Row],[Projects_Submitted]]*4</f>
        <v>31.308</v>
      </c>
      <c r="M271">
        <f>StudentData[[#This Row],[Academic_Score]]*60%+StudentData[[#This Row],[Engagement_Score]]*30%+MIN(StudentData[[#This Row],[Study_Hours_per_Week]],20)/20*100*10%</f>
        <v>46.279600000000002</v>
      </c>
      <c r="N271" s="3" t="str" cm="1">
        <f t="array" ref="N27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71" s="3" t="str">
        <f t="shared" si="8"/>
        <v>Medium Risk</v>
      </c>
      <c r="P271" s="3" t="str">
        <f t="shared" si="9"/>
        <v>18-20</v>
      </c>
    </row>
    <row r="272" spans="1:16">
      <c r="A272" t="s">
        <v>306</v>
      </c>
      <c r="B272">
        <v>23</v>
      </c>
      <c r="C272" t="s">
        <v>5</v>
      </c>
      <c r="D272">
        <v>72.97</v>
      </c>
      <c r="E272">
        <v>3</v>
      </c>
      <c r="F272">
        <v>4.54</v>
      </c>
      <c r="G272">
        <v>30.28</v>
      </c>
      <c r="H272">
        <v>99.29</v>
      </c>
      <c r="I272">
        <v>16</v>
      </c>
      <c r="J272">
        <v>2</v>
      </c>
      <c r="K272">
        <f>(StudentData[[#This Row],[Midterm_Grade]]*40%)+(StudentData[[#This Row],[Final_Grade]]*60%)</f>
        <v>71.686000000000007</v>
      </c>
      <c r="L272">
        <f>StudentData[[#This Row],[Attendance_Percentage]]*40%+StudentData[[#This Row],[Assignments_Completed]]*2+StudentData[[#This Row],[Class_Participation]]*2+StudentData[[#This Row],[Projects_Submitted]]*4</f>
        <v>52.268000000000001</v>
      </c>
      <c r="M272">
        <f>StudentData[[#This Row],[Academic_Score]]*60%+StudentData[[#This Row],[Engagement_Score]]*30%+MIN(StudentData[[#This Row],[Study_Hours_per_Week]],20)/20*100*10%</f>
        <v>66.692000000000007</v>
      </c>
      <c r="N272" s="3" t="str" cm="1">
        <f t="array" ref="N272">_xlfn.IFS(StudentData[[#This Row],[Success_Score]]&gt;=85,"Exceptional",StudentData[[#This Row],[Success_Score]]&gt;=70,"Strong",StudentData[[#This Row],[Success_Score]]&gt;=55,"Developing",TRUE,"Needs Improvement")</f>
        <v>Developing</v>
      </c>
      <c r="O272" s="3" t="str">
        <f t="shared" si="8"/>
        <v>Low Risk</v>
      </c>
      <c r="P272" s="3" t="str">
        <f t="shared" si="9"/>
        <v>21-23</v>
      </c>
    </row>
    <row r="273" spans="1:16">
      <c r="A273" t="s">
        <v>307</v>
      </c>
      <c r="B273">
        <v>25</v>
      </c>
      <c r="C273" t="s">
        <v>4</v>
      </c>
      <c r="D273">
        <v>89.25</v>
      </c>
      <c r="E273">
        <v>6</v>
      </c>
      <c r="F273">
        <v>4.55</v>
      </c>
      <c r="G273">
        <v>73.09</v>
      </c>
      <c r="H273">
        <v>77.77</v>
      </c>
      <c r="I273">
        <v>14</v>
      </c>
      <c r="J273">
        <v>4</v>
      </c>
      <c r="K273">
        <f>(StudentData[[#This Row],[Midterm_Grade]]*40%)+(StudentData[[#This Row],[Final_Grade]]*60%)</f>
        <v>75.897999999999996</v>
      </c>
      <c r="L273">
        <f>StudentData[[#This Row],[Attendance_Percentage]]*40%+StudentData[[#This Row],[Assignments_Completed]]*2+StudentData[[#This Row],[Class_Participation]]*2+StudentData[[#This Row],[Projects_Submitted]]*4</f>
        <v>72.800000000000011</v>
      </c>
      <c r="M273">
        <f>StudentData[[#This Row],[Academic_Score]]*60%+StudentData[[#This Row],[Engagement_Score]]*30%+MIN(StudentData[[#This Row],[Study_Hours_per_Week]],20)/20*100*10%</f>
        <v>74.378799999999998</v>
      </c>
      <c r="N273" s="3" t="str" cm="1">
        <f t="array" ref="N273">_xlfn.IFS(StudentData[[#This Row],[Success_Score]]&gt;=85,"Exceptional",StudentData[[#This Row],[Success_Score]]&gt;=70,"Strong",StudentData[[#This Row],[Success_Score]]&gt;=55,"Developing",TRUE,"Needs Improvement")</f>
        <v>Strong</v>
      </c>
      <c r="O273" s="3" t="str">
        <f t="shared" si="8"/>
        <v>Low Risk</v>
      </c>
      <c r="P273" s="3" t="str">
        <f t="shared" si="9"/>
        <v>24-25</v>
      </c>
    </row>
    <row r="274" spans="1:16">
      <c r="A274" t="s">
        <v>308</v>
      </c>
      <c r="B274">
        <v>25</v>
      </c>
      <c r="C274" t="s">
        <v>5</v>
      </c>
      <c r="D274">
        <v>94.6</v>
      </c>
      <c r="E274">
        <v>0</v>
      </c>
      <c r="F274">
        <v>6.86</v>
      </c>
      <c r="G274">
        <v>70.069999999999993</v>
      </c>
      <c r="H274">
        <v>22.58</v>
      </c>
      <c r="I274">
        <v>8</v>
      </c>
      <c r="J274">
        <v>2</v>
      </c>
      <c r="K274">
        <f>(StudentData[[#This Row],[Midterm_Grade]]*40%)+(StudentData[[#This Row],[Final_Grade]]*60%)</f>
        <v>41.575999999999993</v>
      </c>
      <c r="L274">
        <f>StudentData[[#This Row],[Attendance_Percentage]]*40%+StudentData[[#This Row],[Assignments_Completed]]*2+StudentData[[#This Row],[Class_Participation]]*2+StudentData[[#This Row],[Projects_Submitted]]*4</f>
        <v>59.559999999999995</v>
      </c>
      <c r="M274">
        <f>StudentData[[#This Row],[Academic_Score]]*60%+StudentData[[#This Row],[Engagement_Score]]*30%+MIN(StudentData[[#This Row],[Study_Hours_per_Week]],20)/20*100*10%</f>
        <v>46.813599999999994</v>
      </c>
      <c r="N274" s="3" t="str" cm="1">
        <f t="array" ref="N27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74" s="3" t="str">
        <f t="shared" si="8"/>
        <v>Medium Risk</v>
      </c>
      <c r="P274" s="3" t="str">
        <f t="shared" si="9"/>
        <v>24-25</v>
      </c>
    </row>
    <row r="275" spans="1:16">
      <c r="A275" t="s">
        <v>309</v>
      </c>
      <c r="B275">
        <v>25</v>
      </c>
      <c r="C275" t="s">
        <v>5</v>
      </c>
      <c r="D275">
        <v>97.77</v>
      </c>
      <c r="E275">
        <v>7</v>
      </c>
      <c r="F275">
        <v>9.1</v>
      </c>
      <c r="G275">
        <v>58.9</v>
      </c>
      <c r="H275">
        <v>17.600000000000001</v>
      </c>
      <c r="I275">
        <v>6</v>
      </c>
      <c r="J275">
        <v>5</v>
      </c>
      <c r="K275">
        <f>(StudentData[[#This Row],[Midterm_Grade]]*40%)+(StudentData[[#This Row],[Final_Grade]]*60%)</f>
        <v>34.120000000000005</v>
      </c>
      <c r="L275">
        <f>StudentData[[#This Row],[Attendance_Percentage]]*40%+StudentData[[#This Row],[Assignments_Completed]]*2+StudentData[[#This Row],[Class_Participation]]*2+StudentData[[#This Row],[Projects_Submitted]]*4</f>
        <v>91.308000000000007</v>
      </c>
      <c r="M275">
        <f>StudentData[[#This Row],[Academic_Score]]*60%+StudentData[[#This Row],[Engagement_Score]]*30%+MIN(StudentData[[#This Row],[Study_Hours_per_Week]],20)/20*100*10%</f>
        <v>50.864400000000003</v>
      </c>
      <c r="N275" s="3" t="str" cm="1">
        <f t="array" ref="N27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75" s="3" t="str">
        <f t="shared" si="8"/>
        <v>Medium Risk</v>
      </c>
      <c r="P275" s="3" t="str">
        <f t="shared" si="9"/>
        <v>24-25</v>
      </c>
    </row>
    <row r="276" spans="1:16">
      <c r="A276" t="s">
        <v>310</v>
      </c>
      <c r="B276">
        <v>18</v>
      </c>
      <c r="C276" t="s">
        <v>4</v>
      </c>
      <c r="D276">
        <v>89.35</v>
      </c>
      <c r="E276">
        <v>9</v>
      </c>
      <c r="F276">
        <v>6.39</v>
      </c>
      <c r="G276">
        <v>93.87</v>
      </c>
      <c r="H276">
        <v>86.62</v>
      </c>
      <c r="I276">
        <v>9</v>
      </c>
      <c r="J276">
        <v>5</v>
      </c>
      <c r="K276">
        <f>(StudentData[[#This Row],[Midterm_Grade]]*40%)+(StudentData[[#This Row],[Final_Grade]]*60%)</f>
        <v>89.52000000000001</v>
      </c>
      <c r="L276">
        <f>StudentData[[#This Row],[Attendance_Percentage]]*40%+StudentData[[#This Row],[Assignments_Completed]]*2+StudentData[[#This Row],[Class_Participation]]*2+StudentData[[#This Row],[Projects_Submitted]]*4</f>
        <v>86.52</v>
      </c>
      <c r="M276">
        <f>StudentData[[#This Row],[Academic_Score]]*60%+StudentData[[#This Row],[Engagement_Score]]*30%+MIN(StudentData[[#This Row],[Study_Hours_per_Week]],20)/20*100*10%</f>
        <v>84.168000000000006</v>
      </c>
      <c r="N276" s="3" t="str" cm="1">
        <f t="array" ref="N276">_xlfn.IFS(StudentData[[#This Row],[Success_Score]]&gt;=85,"Exceptional",StudentData[[#This Row],[Success_Score]]&gt;=70,"Strong",StudentData[[#This Row],[Success_Score]]&gt;=55,"Developing",TRUE,"Needs Improvement")</f>
        <v>Strong</v>
      </c>
      <c r="O276" s="3" t="str">
        <f t="shared" si="8"/>
        <v>Low Risk</v>
      </c>
      <c r="P276" s="3" t="str">
        <f t="shared" si="9"/>
        <v>18-20</v>
      </c>
    </row>
    <row r="277" spans="1:16">
      <c r="A277" t="s">
        <v>311</v>
      </c>
      <c r="B277">
        <v>21</v>
      </c>
      <c r="C277" t="s">
        <v>5</v>
      </c>
      <c r="D277">
        <v>65.77</v>
      </c>
      <c r="E277">
        <v>10</v>
      </c>
      <c r="F277">
        <v>9.5399999999999991</v>
      </c>
      <c r="G277">
        <v>34.99</v>
      </c>
      <c r="H277">
        <v>44.42</v>
      </c>
      <c r="I277">
        <v>15</v>
      </c>
      <c r="J277">
        <v>3</v>
      </c>
      <c r="K277">
        <f>(StudentData[[#This Row],[Midterm_Grade]]*40%)+(StudentData[[#This Row],[Final_Grade]]*60%)</f>
        <v>40.648000000000003</v>
      </c>
      <c r="L277">
        <f>StudentData[[#This Row],[Attendance_Percentage]]*40%+StudentData[[#This Row],[Assignments_Completed]]*2+StudentData[[#This Row],[Class_Participation]]*2+StudentData[[#This Row],[Projects_Submitted]]*4</f>
        <v>77.388000000000005</v>
      </c>
      <c r="M277">
        <f>StudentData[[#This Row],[Academic_Score]]*60%+StudentData[[#This Row],[Engagement_Score]]*30%+MIN(StudentData[[#This Row],[Study_Hours_per_Week]],20)/20*100*10%</f>
        <v>55.105199999999996</v>
      </c>
      <c r="N277" s="3" t="str" cm="1">
        <f t="array" ref="N277">_xlfn.IFS(StudentData[[#This Row],[Success_Score]]&gt;=85,"Exceptional",StudentData[[#This Row],[Success_Score]]&gt;=70,"Strong",StudentData[[#This Row],[Success_Score]]&gt;=55,"Developing",TRUE,"Needs Improvement")</f>
        <v>Developing</v>
      </c>
      <c r="O277" s="3" t="str">
        <f t="shared" si="8"/>
        <v>Medium Risk</v>
      </c>
      <c r="P277" s="3" t="str">
        <f t="shared" si="9"/>
        <v>21-23</v>
      </c>
    </row>
    <row r="278" spans="1:16">
      <c r="A278" t="s">
        <v>312</v>
      </c>
      <c r="B278">
        <v>18</v>
      </c>
      <c r="C278" t="s">
        <v>5</v>
      </c>
      <c r="D278">
        <v>84.41</v>
      </c>
      <c r="E278">
        <v>5</v>
      </c>
      <c r="F278">
        <v>8.82</v>
      </c>
      <c r="G278">
        <v>24.38</v>
      </c>
      <c r="H278">
        <v>13.71</v>
      </c>
      <c r="I278">
        <v>11</v>
      </c>
      <c r="J278">
        <v>1</v>
      </c>
      <c r="K278">
        <f>(StudentData[[#This Row],[Midterm_Grade]]*40%)+(StudentData[[#This Row],[Final_Grade]]*60%)</f>
        <v>17.978000000000002</v>
      </c>
      <c r="L278">
        <f>StudentData[[#This Row],[Attendance_Percentage]]*40%+StudentData[[#This Row],[Assignments_Completed]]*2+StudentData[[#This Row],[Class_Participation]]*2+StudentData[[#This Row],[Projects_Submitted]]*4</f>
        <v>65.403999999999996</v>
      </c>
      <c r="M278">
        <f>StudentData[[#This Row],[Academic_Score]]*60%+StudentData[[#This Row],[Engagement_Score]]*30%+MIN(StudentData[[#This Row],[Study_Hours_per_Week]],20)/20*100*10%</f>
        <v>35.908000000000001</v>
      </c>
      <c r="N278" s="3" t="str" cm="1">
        <f t="array" ref="N27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78" s="3" t="str">
        <f t="shared" si="8"/>
        <v>Medium Risk</v>
      </c>
      <c r="P278" s="3" t="str">
        <f t="shared" si="9"/>
        <v>18-20</v>
      </c>
    </row>
    <row r="279" spans="1:16">
      <c r="A279" t="s">
        <v>313</v>
      </c>
      <c r="B279">
        <v>23</v>
      </c>
      <c r="C279" t="s">
        <v>4</v>
      </c>
      <c r="D279">
        <v>71.88</v>
      </c>
      <c r="E279">
        <v>4</v>
      </c>
      <c r="F279">
        <v>5.84</v>
      </c>
      <c r="G279">
        <v>65.59</v>
      </c>
      <c r="H279">
        <v>86.22</v>
      </c>
      <c r="I279">
        <v>6</v>
      </c>
      <c r="J279">
        <v>4</v>
      </c>
      <c r="K279">
        <f>(StudentData[[#This Row],[Midterm_Grade]]*40%)+(StudentData[[#This Row],[Final_Grade]]*60%)</f>
        <v>77.968000000000004</v>
      </c>
      <c r="L279">
        <f>StudentData[[#This Row],[Attendance_Percentage]]*40%+StudentData[[#This Row],[Assignments_Completed]]*2+StudentData[[#This Row],[Class_Participation]]*2+StudentData[[#This Row],[Projects_Submitted]]*4</f>
        <v>64.431999999999988</v>
      </c>
      <c r="M279">
        <f>StudentData[[#This Row],[Academic_Score]]*60%+StudentData[[#This Row],[Engagement_Score]]*30%+MIN(StudentData[[#This Row],[Study_Hours_per_Week]],20)/20*100*10%</f>
        <v>69.110399999999998</v>
      </c>
      <c r="N279" s="3" t="str" cm="1">
        <f t="array" ref="N279">_xlfn.IFS(StudentData[[#This Row],[Success_Score]]&gt;=85,"Exceptional",StudentData[[#This Row],[Success_Score]]&gt;=70,"Strong",StudentData[[#This Row],[Success_Score]]&gt;=55,"Developing",TRUE,"Needs Improvement")</f>
        <v>Developing</v>
      </c>
      <c r="O279" s="3" t="str">
        <f t="shared" si="8"/>
        <v>Low Risk</v>
      </c>
      <c r="P279" s="3" t="str">
        <f t="shared" si="9"/>
        <v>21-23</v>
      </c>
    </row>
    <row r="280" spans="1:16">
      <c r="A280" t="s">
        <v>314</v>
      </c>
      <c r="B280">
        <v>18</v>
      </c>
      <c r="C280" t="s">
        <v>4</v>
      </c>
      <c r="D280">
        <v>62.73</v>
      </c>
      <c r="E280">
        <v>9</v>
      </c>
      <c r="F280">
        <v>8.34</v>
      </c>
      <c r="G280">
        <v>19.88</v>
      </c>
      <c r="H280">
        <v>81.61</v>
      </c>
      <c r="I280">
        <v>17</v>
      </c>
      <c r="J280">
        <v>4</v>
      </c>
      <c r="K280">
        <f>(StudentData[[#This Row],[Midterm_Grade]]*40%)+(StudentData[[#This Row],[Final_Grade]]*60%)</f>
        <v>56.917999999999999</v>
      </c>
      <c r="L280">
        <f>StudentData[[#This Row],[Attendance_Percentage]]*40%+StudentData[[#This Row],[Assignments_Completed]]*2+StudentData[[#This Row],[Class_Participation]]*2+StudentData[[#This Row],[Projects_Submitted]]*4</f>
        <v>75.771999999999991</v>
      </c>
      <c r="M280">
        <f>StudentData[[#This Row],[Academic_Score]]*60%+StudentData[[#This Row],[Engagement_Score]]*30%+MIN(StudentData[[#This Row],[Study_Hours_per_Week]],20)/20*100*10%</f>
        <v>65.38239999999999</v>
      </c>
      <c r="N280" s="3" t="str" cm="1">
        <f t="array" ref="N280">_xlfn.IFS(StudentData[[#This Row],[Success_Score]]&gt;=85,"Exceptional",StudentData[[#This Row],[Success_Score]]&gt;=70,"Strong",StudentData[[#This Row],[Success_Score]]&gt;=55,"Developing",TRUE,"Needs Improvement")</f>
        <v>Developing</v>
      </c>
      <c r="O280" s="3" t="str">
        <f t="shared" si="8"/>
        <v>Medium Risk</v>
      </c>
      <c r="P280" s="3" t="str">
        <f t="shared" si="9"/>
        <v>18-20</v>
      </c>
    </row>
    <row r="281" spans="1:16">
      <c r="A281" t="s">
        <v>315</v>
      </c>
      <c r="B281">
        <v>19</v>
      </c>
      <c r="C281" t="s">
        <v>4</v>
      </c>
      <c r="D281">
        <v>92.04</v>
      </c>
      <c r="E281">
        <v>10</v>
      </c>
      <c r="F281">
        <v>6.43</v>
      </c>
      <c r="G281">
        <v>31.5</v>
      </c>
      <c r="H281">
        <v>98.39</v>
      </c>
      <c r="I281">
        <v>14</v>
      </c>
      <c r="J281">
        <v>2</v>
      </c>
      <c r="K281">
        <f>(StudentData[[#This Row],[Midterm_Grade]]*40%)+(StudentData[[#This Row],[Final_Grade]]*60%)</f>
        <v>71.634</v>
      </c>
      <c r="L281">
        <f>StudentData[[#This Row],[Attendance_Percentage]]*40%+StudentData[[#This Row],[Assignments_Completed]]*2+StudentData[[#This Row],[Class_Participation]]*2+StudentData[[#This Row],[Projects_Submitted]]*4</f>
        <v>77.676000000000002</v>
      </c>
      <c r="M281">
        <f>StudentData[[#This Row],[Academic_Score]]*60%+StudentData[[#This Row],[Engagement_Score]]*30%+MIN(StudentData[[#This Row],[Study_Hours_per_Week]],20)/20*100*10%</f>
        <v>73.283199999999994</v>
      </c>
      <c r="N281" s="3" t="str" cm="1">
        <f t="array" ref="N281">_xlfn.IFS(StudentData[[#This Row],[Success_Score]]&gt;=85,"Exceptional",StudentData[[#This Row],[Success_Score]]&gt;=70,"Strong",StudentData[[#This Row],[Success_Score]]&gt;=55,"Developing",TRUE,"Needs Improvement")</f>
        <v>Strong</v>
      </c>
      <c r="O281" s="3" t="str">
        <f t="shared" si="8"/>
        <v>Low Risk</v>
      </c>
      <c r="P281" s="3" t="str">
        <f t="shared" si="9"/>
        <v>18-20</v>
      </c>
    </row>
    <row r="282" spans="1:16">
      <c r="A282" t="s">
        <v>316</v>
      </c>
      <c r="B282">
        <v>21</v>
      </c>
      <c r="C282" t="s">
        <v>4</v>
      </c>
      <c r="D282">
        <v>51.92</v>
      </c>
      <c r="E282">
        <v>8</v>
      </c>
      <c r="F282">
        <v>0.79</v>
      </c>
      <c r="G282">
        <v>22.46</v>
      </c>
      <c r="H282">
        <v>90.97</v>
      </c>
      <c r="I282">
        <v>5</v>
      </c>
      <c r="J282">
        <v>3</v>
      </c>
      <c r="K282">
        <f>(StudentData[[#This Row],[Midterm_Grade]]*40%)+(StudentData[[#This Row],[Final_Grade]]*60%)</f>
        <v>63.566000000000003</v>
      </c>
      <c r="L282">
        <f>StudentData[[#This Row],[Attendance_Percentage]]*40%+StudentData[[#This Row],[Assignments_Completed]]*2+StudentData[[#This Row],[Class_Participation]]*2+StudentData[[#This Row],[Projects_Submitted]]*4</f>
        <v>50.347999999999999</v>
      </c>
      <c r="M282">
        <f>StudentData[[#This Row],[Academic_Score]]*60%+StudentData[[#This Row],[Engagement_Score]]*30%+MIN(StudentData[[#This Row],[Study_Hours_per_Week]],20)/20*100*10%</f>
        <v>55.744</v>
      </c>
      <c r="N282" s="3" t="str" cm="1">
        <f t="array" ref="N282">_xlfn.IFS(StudentData[[#This Row],[Success_Score]]&gt;=85,"Exceptional",StudentData[[#This Row],[Success_Score]]&gt;=70,"Strong",StudentData[[#This Row],[Success_Score]]&gt;=55,"Developing",TRUE,"Needs Improvement")</f>
        <v>Developing</v>
      </c>
      <c r="O282" s="3" t="str">
        <f t="shared" si="8"/>
        <v>Medium Risk</v>
      </c>
      <c r="P282" s="3" t="str">
        <f t="shared" si="9"/>
        <v>21-23</v>
      </c>
    </row>
    <row r="283" spans="1:16">
      <c r="A283" t="s">
        <v>317</v>
      </c>
      <c r="B283">
        <v>21</v>
      </c>
      <c r="C283" t="s">
        <v>4</v>
      </c>
      <c r="D283">
        <v>95.09</v>
      </c>
      <c r="E283">
        <v>1</v>
      </c>
      <c r="F283">
        <v>7.41</v>
      </c>
      <c r="G283">
        <v>6.92</v>
      </c>
      <c r="H283">
        <v>85.18</v>
      </c>
      <c r="I283">
        <v>11</v>
      </c>
      <c r="J283">
        <v>2</v>
      </c>
      <c r="K283">
        <f>(StudentData[[#This Row],[Midterm_Grade]]*40%)+(StudentData[[#This Row],[Final_Grade]]*60%)</f>
        <v>53.876000000000005</v>
      </c>
      <c r="L283">
        <f>StudentData[[#This Row],[Attendance_Percentage]]*40%+StudentData[[#This Row],[Assignments_Completed]]*2+StudentData[[#This Row],[Class_Participation]]*2+StudentData[[#This Row],[Projects_Submitted]]*4</f>
        <v>62.856000000000002</v>
      </c>
      <c r="M283">
        <f>StudentData[[#This Row],[Academic_Score]]*60%+StudentData[[#This Row],[Engagement_Score]]*30%+MIN(StudentData[[#This Row],[Study_Hours_per_Week]],20)/20*100*10%</f>
        <v>56.682400000000001</v>
      </c>
      <c r="N283" s="3" t="str" cm="1">
        <f t="array" ref="N283">_xlfn.IFS(StudentData[[#This Row],[Success_Score]]&gt;=85,"Exceptional",StudentData[[#This Row],[Success_Score]]&gt;=70,"Strong",StudentData[[#This Row],[Success_Score]]&gt;=55,"Developing",TRUE,"Needs Improvement")</f>
        <v>Developing</v>
      </c>
      <c r="O283" s="3" t="str">
        <f t="shared" si="8"/>
        <v>Medium Risk</v>
      </c>
      <c r="P283" s="3" t="str">
        <f t="shared" si="9"/>
        <v>21-23</v>
      </c>
    </row>
    <row r="284" spans="1:16">
      <c r="A284" t="s">
        <v>318</v>
      </c>
      <c r="B284">
        <v>23</v>
      </c>
      <c r="C284" t="s">
        <v>5</v>
      </c>
      <c r="D284">
        <v>73.069999999999993</v>
      </c>
      <c r="E284">
        <v>4</v>
      </c>
      <c r="F284">
        <v>0.95</v>
      </c>
      <c r="G284">
        <v>82.75</v>
      </c>
      <c r="H284">
        <v>5.26</v>
      </c>
      <c r="I284">
        <v>10</v>
      </c>
      <c r="J284">
        <v>2</v>
      </c>
      <c r="K284">
        <f>(StudentData[[#This Row],[Midterm_Grade]]*40%)+(StudentData[[#This Row],[Final_Grade]]*60%)</f>
        <v>36.256</v>
      </c>
      <c r="L284">
        <f>StudentData[[#This Row],[Attendance_Percentage]]*40%+StudentData[[#This Row],[Assignments_Completed]]*2+StudentData[[#This Row],[Class_Participation]]*2+StudentData[[#This Row],[Projects_Submitted]]*4</f>
        <v>47.127999999999993</v>
      </c>
      <c r="M284">
        <f>StudentData[[#This Row],[Academic_Score]]*60%+StudentData[[#This Row],[Engagement_Score]]*30%+MIN(StudentData[[#This Row],[Study_Hours_per_Week]],20)/20*100*10%</f>
        <v>40.891999999999996</v>
      </c>
      <c r="N284" s="3" t="str" cm="1">
        <f t="array" ref="N28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84" s="3" t="str">
        <f t="shared" si="8"/>
        <v>Medium Risk</v>
      </c>
      <c r="P284" s="3" t="str">
        <f t="shared" si="9"/>
        <v>21-23</v>
      </c>
    </row>
    <row r="285" spans="1:16">
      <c r="A285" t="s">
        <v>319</v>
      </c>
      <c r="B285">
        <v>24</v>
      </c>
      <c r="C285" t="s">
        <v>5</v>
      </c>
      <c r="D285">
        <v>81.86</v>
      </c>
      <c r="E285">
        <v>5</v>
      </c>
      <c r="F285">
        <v>5.94</v>
      </c>
      <c r="G285">
        <v>25.45</v>
      </c>
      <c r="H285">
        <v>10.44</v>
      </c>
      <c r="I285">
        <v>19</v>
      </c>
      <c r="J285">
        <v>4</v>
      </c>
      <c r="K285">
        <f>(StudentData[[#This Row],[Midterm_Grade]]*40%)+(StudentData[[#This Row],[Final_Grade]]*60%)</f>
        <v>16.443999999999999</v>
      </c>
      <c r="L285">
        <f>StudentData[[#This Row],[Attendance_Percentage]]*40%+StudentData[[#This Row],[Assignments_Completed]]*2+StudentData[[#This Row],[Class_Participation]]*2+StudentData[[#This Row],[Projects_Submitted]]*4</f>
        <v>70.623999999999995</v>
      </c>
      <c r="M285">
        <f>StudentData[[#This Row],[Academic_Score]]*60%+StudentData[[#This Row],[Engagement_Score]]*30%+MIN(StudentData[[#This Row],[Study_Hours_per_Week]],20)/20*100*10%</f>
        <v>40.553599999999996</v>
      </c>
      <c r="N285" s="3" t="str" cm="1">
        <f t="array" ref="N28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85" s="3" t="str">
        <f t="shared" si="8"/>
        <v>Medium Risk</v>
      </c>
      <c r="P285" s="3" t="str">
        <f t="shared" si="9"/>
        <v>24-25</v>
      </c>
    </row>
    <row r="286" spans="1:16">
      <c r="A286" t="s">
        <v>320</v>
      </c>
      <c r="B286">
        <v>19</v>
      </c>
      <c r="C286" t="s">
        <v>5</v>
      </c>
      <c r="D286">
        <v>82.97</v>
      </c>
      <c r="E286">
        <v>6</v>
      </c>
      <c r="F286">
        <v>7.03</v>
      </c>
      <c r="G286">
        <v>47.3</v>
      </c>
      <c r="H286">
        <v>56.9</v>
      </c>
      <c r="I286">
        <v>2</v>
      </c>
      <c r="J286">
        <v>2</v>
      </c>
      <c r="K286">
        <f>(StudentData[[#This Row],[Midterm_Grade]]*40%)+(StudentData[[#This Row],[Final_Grade]]*60%)</f>
        <v>53.06</v>
      </c>
      <c r="L286">
        <f>StudentData[[#This Row],[Attendance_Percentage]]*40%+StudentData[[#This Row],[Assignments_Completed]]*2+StudentData[[#This Row],[Class_Participation]]*2+StudentData[[#This Row],[Projects_Submitted]]*4</f>
        <v>67.248000000000005</v>
      </c>
      <c r="M286">
        <f>StudentData[[#This Row],[Academic_Score]]*60%+StudentData[[#This Row],[Engagement_Score]]*30%+MIN(StudentData[[#This Row],[Study_Hours_per_Week]],20)/20*100*10%</f>
        <v>53.010400000000004</v>
      </c>
      <c r="N286" s="3" t="str" cm="1">
        <f t="array" ref="N28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86" s="3" t="str">
        <f t="shared" si="8"/>
        <v>Medium Risk</v>
      </c>
      <c r="P286" s="3" t="str">
        <f t="shared" si="9"/>
        <v>18-20</v>
      </c>
    </row>
    <row r="287" spans="1:16">
      <c r="A287" t="s">
        <v>321</v>
      </c>
      <c r="B287">
        <v>20</v>
      </c>
      <c r="C287" t="s">
        <v>6</v>
      </c>
      <c r="D287">
        <v>94.76</v>
      </c>
      <c r="E287">
        <v>4</v>
      </c>
      <c r="F287">
        <v>0.67</v>
      </c>
      <c r="G287">
        <v>4.33</v>
      </c>
      <c r="H287">
        <v>53.15</v>
      </c>
      <c r="I287">
        <v>1</v>
      </c>
      <c r="J287">
        <v>1</v>
      </c>
      <c r="K287">
        <f>(StudentData[[#This Row],[Midterm_Grade]]*40%)+(StudentData[[#This Row],[Final_Grade]]*60%)</f>
        <v>33.622</v>
      </c>
      <c r="L287">
        <f>StudentData[[#This Row],[Attendance_Percentage]]*40%+StudentData[[#This Row],[Assignments_Completed]]*2+StudentData[[#This Row],[Class_Participation]]*2+StudentData[[#This Row],[Projects_Submitted]]*4</f>
        <v>51.244000000000007</v>
      </c>
      <c r="M287">
        <f>StudentData[[#This Row],[Academic_Score]]*60%+StudentData[[#This Row],[Engagement_Score]]*30%+MIN(StudentData[[#This Row],[Study_Hours_per_Week]],20)/20*100*10%</f>
        <v>36.046399999999998</v>
      </c>
      <c r="N287" s="3" t="str" cm="1">
        <f t="array" ref="N28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87" s="3" t="str">
        <f t="shared" si="8"/>
        <v>Medium Risk</v>
      </c>
      <c r="P287" s="3" t="str">
        <f t="shared" si="9"/>
        <v>18-20</v>
      </c>
    </row>
    <row r="288" spans="1:16">
      <c r="A288" t="s">
        <v>322</v>
      </c>
      <c r="B288">
        <v>18</v>
      </c>
      <c r="C288" t="s">
        <v>4</v>
      </c>
      <c r="D288">
        <v>81.83</v>
      </c>
      <c r="E288">
        <v>8</v>
      </c>
      <c r="F288">
        <v>2.31</v>
      </c>
      <c r="G288">
        <v>69.930000000000007</v>
      </c>
      <c r="H288">
        <v>45.8</v>
      </c>
      <c r="I288">
        <v>5</v>
      </c>
      <c r="J288">
        <v>2</v>
      </c>
      <c r="K288">
        <f>(StudentData[[#This Row],[Midterm_Grade]]*40%)+(StudentData[[#This Row],[Final_Grade]]*60%)</f>
        <v>55.451999999999998</v>
      </c>
      <c r="L288">
        <f>StudentData[[#This Row],[Attendance_Percentage]]*40%+StudentData[[#This Row],[Assignments_Completed]]*2+StudentData[[#This Row],[Class_Participation]]*2+StudentData[[#This Row],[Projects_Submitted]]*4</f>
        <v>61.351999999999997</v>
      </c>
      <c r="M288">
        <f>StudentData[[#This Row],[Academic_Score]]*60%+StudentData[[#This Row],[Engagement_Score]]*30%+MIN(StudentData[[#This Row],[Study_Hours_per_Week]],20)/20*100*10%</f>
        <v>54.1768</v>
      </c>
      <c r="N288" s="3" t="str" cm="1">
        <f t="array" ref="N28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88" s="3" t="str">
        <f t="shared" si="8"/>
        <v>Medium Risk</v>
      </c>
      <c r="P288" s="3" t="str">
        <f t="shared" si="9"/>
        <v>18-20</v>
      </c>
    </row>
    <row r="289" spans="1:16">
      <c r="A289" t="s">
        <v>323</v>
      </c>
      <c r="B289">
        <v>22</v>
      </c>
      <c r="C289" t="s">
        <v>5</v>
      </c>
      <c r="D289">
        <v>80.7</v>
      </c>
      <c r="E289">
        <v>0</v>
      </c>
      <c r="F289">
        <v>9.16</v>
      </c>
      <c r="G289">
        <v>33.06</v>
      </c>
      <c r="H289">
        <v>39.68</v>
      </c>
      <c r="I289">
        <v>4</v>
      </c>
      <c r="J289">
        <v>1</v>
      </c>
      <c r="K289">
        <f>(StudentData[[#This Row],[Midterm_Grade]]*40%)+(StudentData[[#This Row],[Final_Grade]]*60%)</f>
        <v>37.032000000000004</v>
      </c>
      <c r="L289">
        <f>StudentData[[#This Row],[Attendance_Percentage]]*40%+StudentData[[#This Row],[Assignments_Completed]]*2+StudentData[[#This Row],[Class_Participation]]*2+StudentData[[#This Row],[Projects_Submitted]]*4</f>
        <v>54.6</v>
      </c>
      <c r="M289">
        <f>StudentData[[#This Row],[Academic_Score]]*60%+StudentData[[#This Row],[Engagement_Score]]*30%+MIN(StudentData[[#This Row],[Study_Hours_per_Week]],20)/20*100*10%</f>
        <v>40.599199999999996</v>
      </c>
      <c r="N289" s="3" t="str" cm="1">
        <f t="array" ref="N28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89" s="3" t="str">
        <f t="shared" si="8"/>
        <v>Medium Risk</v>
      </c>
      <c r="P289" s="3" t="str">
        <f t="shared" si="9"/>
        <v>21-23</v>
      </c>
    </row>
    <row r="290" spans="1:16">
      <c r="A290" t="s">
        <v>324</v>
      </c>
      <c r="B290">
        <v>18</v>
      </c>
      <c r="C290" t="s">
        <v>4</v>
      </c>
      <c r="D290">
        <v>53.33</v>
      </c>
      <c r="E290">
        <v>6</v>
      </c>
      <c r="F290">
        <v>6.16</v>
      </c>
      <c r="G290">
        <v>74.47</v>
      </c>
      <c r="H290">
        <v>43.12</v>
      </c>
      <c r="I290">
        <v>17</v>
      </c>
      <c r="J290">
        <v>4</v>
      </c>
      <c r="K290">
        <f>(StudentData[[#This Row],[Midterm_Grade]]*40%)+(StudentData[[#This Row],[Final_Grade]]*60%)</f>
        <v>55.66</v>
      </c>
      <c r="L290">
        <f>StudentData[[#This Row],[Attendance_Percentage]]*40%+StudentData[[#This Row],[Assignments_Completed]]*2+StudentData[[#This Row],[Class_Participation]]*2+StudentData[[#This Row],[Projects_Submitted]]*4</f>
        <v>61.652000000000001</v>
      </c>
      <c r="M290">
        <f>StudentData[[#This Row],[Academic_Score]]*60%+StudentData[[#This Row],[Engagement_Score]]*30%+MIN(StudentData[[#This Row],[Study_Hours_per_Week]],20)/20*100*10%</f>
        <v>60.391599999999997</v>
      </c>
      <c r="N290" s="3" t="str" cm="1">
        <f t="array" ref="N290">_xlfn.IFS(StudentData[[#This Row],[Success_Score]]&gt;=85,"Exceptional",StudentData[[#This Row],[Success_Score]]&gt;=70,"Strong",StudentData[[#This Row],[Success_Score]]&gt;=55,"Developing",TRUE,"Needs Improvement")</f>
        <v>Developing</v>
      </c>
      <c r="O290" s="3" t="str">
        <f t="shared" si="8"/>
        <v>Medium Risk</v>
      </c>
      <c r="P290" s="3" t="str">
        <f t="shared" si="9"/>
        <v>18-20</v>
      </c>
    </row>
    <row r="291" spans="1:16">
      <c r="A291" t="s">
        <v>325</v>
      </c>
      <c r="B291">
        <v>25</v>
      </c>
      <c r="C291" t="s">
        <v>6</v>
      </c>
      <c r="D291">
        <v>75.92</v>
      </c>
      <c r="E291">
        <v>9</v>
      </c>
      <c r="F291">
        <v>2.46</v>
      </c>
      <c r="G291">
        <v>41.24</v>
      </c>
      <c r="H291">
        <v>56.93</v>
      </c>
      <c r="I291">
        <v>15</v>
      </c>
      <c r="J291">
        <v>3</v>
      </c>
      <c r="K291">
        <f>(StudentData[[#This Row],[Midterm_Grade]]*40%)+(StudentData[[#This Row],[Final_Grade]]*60%)</f>
        <v>50.654000000000003</v>
      </c>
      <c r="L291">
        <f>StudentData[[#This Row],[Attendance_Percentage]]*40%+StudentData[[#This Row],[Assignments_Completed]]*2+StudentData[[#This Row],[Class_Participation]]*2+StudentData[[#This Row],[Projects_Submitted]]*4</f>
        <v>65.288000000000011</v>
      </c>
      <c r="M291">
        <f>StudentData[[#This Row],[Academic_Score]]*60%+StudentData[[#This Row],[Engagement_Score]]*30%+MIN(StudentData[[#This Row],[Study_Hours_per_Week]],20)/20*100*10%</f>
        <v>57.478800000000007</v>
      </c>
      <c r="N291" s="3" t="str" cm="1">
        <f t="array" ref="N291">_xlfn.IFS(StudentData[[#This Row],[Success_Score]]&gt;=85,"Exceptional",StudentData[[#This Row],[Success_Score]]&gt;=70,"Strong",StudentData[[#This Row],[Success_Score]]&gt;=55,"Developing",TRUE,"Needs Improvement")</f>
        <v>Developing</v>
      </c>
      <c r="O291" s="3" t="str">
        <f t="shared" si="8"/>
        <v>Medium Risk</v>
      </c>
      <c r="P291" s="3" t="str">
        <f t="shared" si="9"/>
        <v>24-25</v>
      </c>
    </row>
    <row r="292" spans="1:16">
      <c r="A292" t="s">
        <v>326</v>
      </c>
      <c r="B292">
        <v>18</v>
      </c>
      <c r="C292" t="s">
        <v>5</v>
      </c>
      <c r="D292">
        <v>57.51</v>
      </c>
      <c r="E292">
        <v>6</v>
      </c>
      <c r="F292">
        <v>6.91</v>
      </c>
      <c r="G292">
        <v>19.579999999999998</v>
      </c>
      <c r="H292">
        <v>0.21</v>
      </c>
      <c r="I292">
        <v>7</v>
      </c>
      <c r="J292">
        <v>5</v>
      </c>
      <c r="K292">
        <f>(StudentData[[#This Row],[Midterm_Grade]]*40%)+(StudentData[[#This Row],[Final_Grade]]*60%)</f>
        <v>7.9580000000000002</v>
      </c>
      <c r="L292">
        <f>StudentData[[#This Row],[Attendance_Percentage]]*40%+StudentData[[#This Row],[Assignments_Completed]]*2+StudentData[[#This Row],[Class_Participation]]*2+StudentData[[#This Row],[Projects_Submitted]]*4</f>
        <v>68.824000000000012</v>
      </c>
      <c r="M292">
        <f>StudentData[[#This Row],[Academic_Score]]*60%+StudentData[[#This Row],[Engagement_Score]]*30%+MIN(StudentData[[#This Row],[Study_Hours_per_Week]],20)/20*100*10%</f>
        <v>28.922000000000001</v>
      </c>
      <c r="N292" s="3" t="str" cm="1">
        <f t="array" ref="N29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92" s="3" t="str">
        <f t="shared" si="8"/>
        <v>High Risk</v>
      </c>
      <c r="P292" s="3" t="str">
        <f t="shared" si="9"/>
        <v>18-20</v>
      </c>
    </row>
    <row r="293" spans="1:16">
      <c r="A293" t="s">
        <v>327</v>
      </c>
      <c r="B293">
        <v>20</v>
      </c>
      <c r="C293" t="s">
        <v>4</v>
      </c>
      <c r="D293">
        <v>86.87</v>
      </c>
      <c r="E293">
        <v>3</v>
      </c>
      <c r="F293">
        <v>5.97</v>
      </c>
      <c r="G293">
        <v>51.32</v>
      </c>
      <c r="H293">
        <v>26.07</v>
      </c>
      <c r="I293">
        <v>19</v>
      </c>
      <c r="J293">
        <v>1</v>
      </c>
      <c r="K293">
        <f>(StudentData[[#This Row],[Midterm_Grade]]*40%)+(StudentData[[#This Row],[Final_Grade]]*60%)</f>
        <v>36.17</v>
      </c>
      <c r="L293">
        <f>StudentData[[#This Row],[Attendance_Percentage]]*40%+StudentData[[#This Row],[Assignments_Completed]]*2+StudentData[[#This Row],[Class_Participation]]*2+StudentData[[#This Row],[Projects_Submitted]]*4</f>
        <v>56.688000000000002</v>
      </c>
      <c r="M293">
        <f>StudentData[[#This Row],[Academic_Score]]*60%+StudentData[[#This Row],[Engagement_Score]]*30%+MIN(StudentData[[#This Row],[Study_Hours_per_Week]],20)/20*100*10%</f>
        <v>48.208399999999997</v>
      </c>
      <c r="N293" s="3" t="str" cm="1">
        <f t="array" ref="N29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93" s="3" t="str">
        <f t="shared" si="8"/>
        <v>Medium Risk</v>
      </c>
      <c r="P293" s="3" t="str">
        <f t="shared" si="9"/>
        <v>18-20</v>
      </c>
    </row>
    <row r="294" spans="1:16">
      <c r="A294" t="s">
        <v>328</v>
      </c>
      <c r="B294">
        <v>18</v>
      </c>
      <c r="C294" t="s">
        <v>4</v>
      </c>
      <c r="D294">
        <v>75.61</v>
      </c>
      <c r="E294">
        <v>8</v>
      </c>
      <c r="F294">
        <v>5.0199999999999996</v>
      </c>
      <c r="G294">
        <v>13.05</v>
      </c>
      <c r="H294">
        <v>51.83</v>
      </c>
      <c r="I294">
        <v>10</v>
      </c>
      <c r="J294">
        <v>3</v>
      </c>
      <c r="K294">
        <f>(StudentData[[#This Row],[Midterm_Grade]]*40%)+(StudentData[[#This Row],[Final_Grade]]*60%)</f>
        <v>36.317999999999998</v>
      </c>
      <c r="L294">
        <f>StudentData[[#This Row],[Attendance_Percentage]]*40%+StudentData[[#This Row],[Assignments_Completed]]*2+StudentData[[#This Row],[Class_Participation]]*2+StudentData[[#This Row],[Projects_Submitted]]*4</f>
        <v>68.283999999999992</v>
      </c>
      <c r="M294">
        <f>StudentData[[#This Row],[Academic_Score]]*60%+StudentData[[#This Row],[Engagement_Score]]*30%+MIN(StudentData[[#This Row],[Study_Hours_per_Week]],20)/20*100*10%</f>
        <v>47.275999999999996</v>
      </c>
      <c r="N294" s="3" t="str" cm="1">
        <f t="array" ref="N29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94" s="3" t="str">
        <f t="shared" si="8"/>
        <v>Medium Risk</v>
      </c>
      <c r="P294" s="3" t="str">
        <f t="shared" si="9"/>
        <v>18-20</v>
      </c>
    </row>
    <row r="295" spans="1:16">
      <c r="A295" t="s">
        <v>329</v>
      </c>
      <c r="B295">
        <v>19</v>
      </c>
      <c r="C295" t="s">
        <v>4</v>
      </c>
      <c r="D295">
        <v>84.01</v>
      </c>
      <c r="E295">
        <v>10</v>
      </c>
      <c r="F295">
        <v>9.76</v>
      </c>
      <c r="G295">
        <v>44.05</v>
      </c>
      <c r="H295">
        <v>72.22</v>
      </c>
      <c r="I295">
        <v>9</v>
      </c>
      <c r="J295">
        <v>3</v>
      </c>
      <c r="K295">
        <f>(StudentData[[#This Row],[Midterm_Grade]]*40%)+(StudentData[[#This Row],[Final_Grade]]*60%)</f>
        <v>60.951999999999998</v>
      </c>
      <c r="L295">
        <f>StudentData[[#This Row],[Attendance_Percentage]]*40%+StudentData[[#This Row],[Assignments_Completed]]*2+StudentData[[#This Row],[Class_Participation]]*2+StudentData[[#This Row],[Projects_Submitted]]*4</f>
        <v>85.124000000000009</v>
      </c>
      <c r="M295">
        <f>StudentData[[#This Row],[Academic_Score]]*60%+StudentData[[#This Row],[Engagement_Score]]*30%+MIN(StudentData[[#This Row],[Study_Hours_per_Week]],20)/20*100*10%</f>
        <v>66.608400000000003</v>
      </c>
      <c r="N295" s="3" t="str" cm="1">
        <f t="array" ref="N295">_xlfn.IFS(StudentData[[#This Row],[Success_Score]]&gt;=85,"Exceptional",StudentData[[#This Row],[Success_Score]]&gt;=70,"Strong",StudentData[[#This Row],[Success_Score]]&gt;=55,"Developing",TRUE,"Needs Improvement")</f>
        <v>Developing</v>
      </c>
      <c r="O295" s="3" t="str">
        <f t="shared" si="8"/>
        <v>Low Risk</v>
      </c>
      <c r="P295" s="3" t="str">
        <f t="shared" si="9"/>
        <v>18-20</v>
      </c>
    </row>
    <row r="296" spans="1:16">
      <c r="A296" t="s">
        <v>330</v>
      </c>
      <c r="B296">
        <v>19</v>
      </c>
      <c r="C296" t="s">
        <v>5</v>
      </c>
      <c r="D296">
        <v>52.08</v>
      </c>
      <c r="E296">
        <v>4</v>
      </c>
      <c r="F296">
        <v>6.83</v>
      </c>
      <c r="G296">
        <v>31.73</v>
      </c>
      <c r="H296">
        <v>17.420000000000002</v>
      </c>
      <c r="I296">
        <v>11</v>
      </c>
      <c r="J296">
        <v>1</v>
      </c>
      <c r="K296">
        <f>(StudentData[[#This Row],[Midterm_Grade]]*40%)+(StudentData[[#This Row],[Final_Grade]]*60%)</f>
        <v>23.143999999999998</v>
      </c>
      <c r="L296">
        <f>StudentData[[#This Row],[Attendance_Percentage]]*40%+StudentData[[#This Row],[Assignments_Completed]]*2+StudentData[[#This Row],[Class_Participation]]*2+StudentData[[#This Row],[Projects_Submitted]]*4</f>
        <v>46.492000000000004</v>
      </c>
      <c r="M296">
        <f>StudentData[[#This Row],[Academic_Score]]*60%+StudentData[[#This Row],[Engagement_Score]]*30%+MIN(StudentData[[#This Row],[Study_Hours_per_Week]],20)/20*100*10%</f>
        <v>33.334000000000003</v>
      </c>
      <c r="N296" s="3" t="str" cm="1">
        <f t="array" ref="N29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96" s="3" t="str">
        <f t="shared" si="8"/>
        <v>High Risk</v>
      </c>
      <c r="P296" s="3" t="str">
        <f t="shared" si="9"/>
        <v>18-20</v>
      </c>
    </row>
    <row r="297" spans="1:16">
      <c r="A297" t="s">
        <v>331</v>
      </c>
      <c r="B297">
        <v>21</v>
      </c>
      <c r="C297" t="s">
        <v>4</v>
      </c>
      <c r="D297">
        <v>54.24</v>
      </c>
      <c r="E297">
        <v>3</v>
      </c>
      <c r="F297">
        <v>3.75</v>
      </c>
      <c r="G297">
        <v>91.2</v>
      </c>
      <c r="H297">
        <v>54.69</v>
      </c>
      <c r="I297">
        <v>5</v>
      </c>
      <c r="J297">
        <v>4</v>
      </c>
      <c r="K297">
        <f>(StudentData[[#This Row],[Midterm_Grade]]*40%)+(StudentData[[#This Row],[Final_Grade]]*60%)</f>
        <v>69.294000000000011</v>
      </c>
      <c r="L297">
        <f>StudentData[[#This Row],[Attendance_Percentage]]*40%+StudentData[[#This Row],[Assignments_Completed]]*2+StudentData[[#This Row],[Class_Participation]]*2+StudentData[[#This Row],[Projects_Submitted]]*4</f>
        <v>51.195999999999998</v>
      </c>
      <c r="M297">
        <f>StudentData[[#This Row],[Academic_Score]]*60%+StudentData[[#This Row],[Engagement_Score]]*30%+MIN(StudentData[[#This Row],[Study_Hours_per_Week]],20)/20*100*10%</f>
        <v>59.435200000000009</v>
      </c>
      <c r="N297" s="3" t="str" cm="1">
        <f t="array" ref="N297">_xlfn.IFS(StudentData[[#This Row],[Success_Score]]&gt;=85,"Exceptional",StudentData[[#This Row],[Success_Score]]&gt;=70,"Strong",StudentData[[#This Row],[Success_Score]]&gt;=55,"Developing",TRUE,"Needs Improvement")</f>
        <v>Developing</v>
      </c>
      <c r="O297" s="3" t="str">
        <f t="shared" si="8"/>
        <v>Medium Risk</v>
      </c>
      <c r="P297" s="3" t="str">
        <f t="shared" si="9"/>
        <v>21-23</v>
      </c>
    </row>
    <row r="298" spans="1:16">
      <c r="A298" t="s">
        <v>332</v>
      </c>
      <c r="B298">
        <v>23</v>
      </c>
      <c r="C298" t="s">
        <v>6</v>
      </c>
      <c r="D298">
        <v>85.82</v>
      </c>
      <c r="E298">
        <v>6</v>
      </c>
      <c r="F298">
        <v>8</v>
      </c>
      <c r="G298">
        <v>6.09</v>
      </c>
      <c r="H298">
        <v>71.45</v>
      </c>
      <c r="I298">
        <v>19</v>
      </c>
      <c r="J298">
        <v>0</v>
      </c>
      <c r="K298">
        <f>(StudentData[[#This Row],[Midterm_Grade]]*40%)+(StudentData[[#This Row],[Final_Grade]]*60%)</f>
        <v>45.305999999999997</v>
      </c>
      <c r="L298">
        <f>StudentData[[#This Row],[Attendance_Percentage]]*40%+StudentData[[#This Row],[Assignments_Completed]]*2+StudentData[[#This Row],[Class_Participation]]*2+StudentData[[#This Row],[Projects_Submitted]]*4</f>
        <v>62.327999999999996</v>
      </c>
      <c r="M298">
        <f>StudentData[[#This Row],[Academic_Score]]*60%+StudentData[[#This Row],[Engagement_Score]]*30%+MIN(StudentData[[#This Row],[Study_Hours_per_Week]],20)/20*100*10%</f>
        <v>55.381999999999998</v>
      </c>
      <c r="N298" s="3" t="str" cm="1">
        <f t="array" ref="N298">_xlfn.IFS(StudentData[[#This Row],[Success_Score]]&gt;=85,"Exceptional",StudentData[[#This Row],[Success_Score]]&gt;=70,"Strong",StudentData[[#This Row],[Success_Score]]&gt;=55,"Developing",TRUE,"Needs Improvement")</f>
        <v>Developing</v>
      </c>
      <c r="O298" s="3" t="str">
        <f t="shared" si="8"/>
        <v>Medium Risk</v>
      </c>
      <c r="P298" s="3" t="str">
        <f t="shared" si="9"/>
        <v>21-23</v>
      </c>
    </row>
    <row r="299" spans="1:16">
      <c r="A299" t="s">
        <v>333</v>
      </c>
      <c r="B299">
        <v>24</v>
      </c>
      <c r="C299" t="s">
        <v>4</v>
      </c>
      <c r="D299">
        <v>53.6</v>
      </c>
      <c r="E299">
        <v>3</v>
      </c>
      <c r="F299">
        <v>8.85</v>
      </c>
      <c r="G299">
        <v>69.400000000000006</v>
      </c>
      <c r="H299">
        <v>44.46</v>
      </c>
      <c r="I299">
        <v>4</v>
      </c>
      <c r="J299">
        <v>3</v>
      </c>
      <c r="K299">
        <f>(StudentData[[#This Row],[Midterm_Grade]]*40%)+(StudentData[[#This Row],[Final_Grade]]*60%)</f>
        <v>54.436000000000007</v>
      </c>
      <c r="L299">
        <f>StudentData[[#This Row],[Attendance_Percentage]]*40%+StudentData[[#This Row],[Assignments_Completed]]*2+StudentData[[#This Row],[Class_Participation]]*2+StudentData[[#This Row],[Projects_Submitted]]*4</f>
        <v>57.14</v>
      </c>
      <c r="M299">
        <f>StudentData[[#This Row],[Academic_Score]]*60%+StudentData[[#This Row],[Engagement_Score]]*30%+MIN(StudentData[[#This Row],[Study_Hours_per_Week]],20)/20*100*10%</f>
        <v>51.803600000000003</v>
      </c>
      <c r="N299" s="3" t="str" cm="1">
        <f t="array" ref="N29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299" s="3" t="str">
        <f t="shared" si="8"/>
        <v>Medium Risk</v>
      </c>
      <c r="P299" s="3" t="str">
        <f t="shared" si="9"/>
        <v>24-25</v>
      </c>
    </row>
    <row r="300" spans="1:16">
      <c r="A300" t="s">
        <v>334</v>
      </c>
      <c r="B300">
        <v>22</v>
      </c>
      <c r="C300" t="s">
        <v>4</v>
      </c>
      <c r="D300">
        <v>53.56</v>
      </c>
      <c r="E300">
        <v>2</v>
      </c>
      <c r="F300">
        <v>1.25</v>
      </c>
      <c r="G300">
        <v>18.28</v>
      </c>
      <c r="H300">
        <v>2.71</v>
      </c>
      <c r="I300">
        <v>8</v>
      </c>
      <c r="J300">
        <v>3</v>
      </c>
      <c r="K300">
        <f>(StudentData[[#This Row],[Midterm_Grade]]*40%)+(StudentData[[#This Row],[Final_Grade]]*60%)</f>
        <v>8.9380000000000006</v>
      </c>
      <c r="L300">
        <f>StudentData[[#This Row],[Attendance_Percentage]]*40%+StudentData[[#This Row],[Assignments_Completed]]*2+StudentData[[#This Row],[Class_Participation]]*2+StudentData[[#This Row],[Projects_Submitted]]*4</f>
        <v>39.924000000000007</v>
      </c>
      <c r="M300">
        <f>StudentData[[#This Row],[Academic_Score]]*60%+StudentData[[#This Row],[Engagement_Score]]*30%+MIN(StudentData[[#This Row],[Study_Hours_per_Week]],20)/20*100*10%</f>
        <v>21.340000000000003</v>
      </c>
      <c r="N300" s="3" t="str" cm="1">
        <f t="array" ref="N30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00" s="3" t="str">
        <f t="shared" si="8"/>
        <v>High Risk</v>
      </c>
      <c r="P300" s="3" t="str">
        <f t="shared" si="9"/>
        <v>21-23</v>
      </c>
    </row>
    <row r="301" spans="1:16">
      <c r="A301" t="s">
        <v>335</v>
      </c>
      <c r="B301">
        <v>25</v>
      </c>
      <c r="C301" t="s">
        <v>6</v>
      </c>
      <c r="D301">
        <v>50.61</v>
      </c>
      <c r="E301">
        <v>8</v>
      </c>
      <c r="F301">
        <v>2.0099999999999998</v>
      </c>
      <c r="G301">
        <v>31.9</v>
      </c>
      <c r="H301">
        <v>44.93</v>
      </c>
      <c r="I301">
        <v>15</v>
      </c>
      <c r="J301">
        <v>4</v>
      </c>
      <c r="K301">
        <f>(StudentData[[#This Row],[Midterm_Grade]]*40%)+(StudentData[[#This Row],[Final_Grade]]*60%)</f>
        <v>39.717999999999996</v>
      </c>
      <c r="L301">
        <f>StudentData[[#This Row],[Attendance_Percentage]]*40%+StudentData[[#This Row],[Assignments_Completed]]*2+StudentData[[#This Row],[Class_Participation]]*2+StudentData[[#This Row],[Projects_Submitted]]*4</f>
        <v>56.263999999999996</v>
      </c>
      <c r="M301">
        <f>StudentData[[#This Row],[Academic_Score]]*60%+StudentData[[#This Row],[Engagement_Score]]*30%+MIN(StudentData[[#This Row],[Study_Hours_per_Week]],20)/20*100*10%</f>
        <v>48.209999999999994</v>
      </c>
      <c r="N301" s="3" t="str" cm="1">
        <f t="array" ref="N30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01" s="3" t="str">
        <f t="shared" si="8"/>
        <v>High Risk</v>
      </c>
      <c r="P301" s="3" t="str">
        <f t="shared" si="9"/>
        <v>24-25</v>
      </c>
    </row>
    <row r="302" spans="1:16">
      <c r="A302" t="s">
        <v>336</v>
      </c>
      <c r="B302">
        <v>18</v>
      </c>
      <c r="C302" t="s">
        <v>4</v>
      </c>
      <c r="D302">
        <v>97.83</v>
      </c>
      <c r="E302">
        <v>10</v>
      </c>
      <c r="F302">
        <v>2.16</v>
      </c>
      <c r="G302">
        <v>41.55</v>
      </c>
      <c r="H302">
        <v>29.64</v>
      </c>
      <c r="I302">
        <v>13</v>
      </c>
      <c r="J302">
        <v>4</v>
      </c>
      <c r="K302">
        <f>(StudentData[[#This Row],[Midterm_Grade]]*40%)+(StudentData[[#This Row],[Final_Grade]]*60%)</f>
        <v>34.403999999999996</v>
      </c>
      <c r="L302">
        <f>StudentData[[#This Row],[Attendance_Percentage]]*40%+StudentData[[#This Row],[Assignments_Completed]]*2+StudentData[[#This Row],[Class_Participation]]*2+StudentData[[#This Row],[Projects_Submitted]]*4</f>
        <v>79.451999999999998</v>
      </c>
      <c r="M302">
        <f>StudentData[[#This Row],[Academic_Score]]*60%+StudentData[[#This Row],[Engagement_Score]]*30%+MIN(StudentData[[#This Row],[Study_Hours_per_Week]],20)/20*100*10%</f>
        <v>50.977999999999994</v>
      </c>
      <c r="N302" s="3" t="str" cm="1">
        <f t="array" ref="N30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02" s="3" t="str">
        <f t="shared" si="8"/>
        <v>Medium Risk</v>
      </c>
      <c r="P302" s="3" t="str">
        <f t="shared" si="9"/>
        <v>18-20</v>
      </c>
    </row>
    <row r="303" spans="1:16">
      <c r="A303" t="s">
        <v>337</v>
      </c>
      <c r="B303">
        <v>18</v>
      </c>
      <c r="C303" t="s">
        <v>5</v>
      </c>
      <c r="D303">
        <v>86.88</v>
      </c>
      <c r="E303">
        <v>7</v>
      </c>
      <c r="F303">
        <v>6.91</v>
      </c>
      <c r="G303">
        <v>90.8</v>
      </c>
      <c r="H303">
        <v>92.96</v>
      </c>
      <c r="I303">
        <v>7</v>
      </c>
      <c r="J303">
        <v>2</v>
      </c>
      <c r="K303">
        <f>(StudentData[[#This Row],[Midterm_Grade]]*40%)+(StudentData[[#This Row],[Final_Grade]]*60%)</f>
        <v>92.096000000000004</v>
      </c>
      <c r="L303">
        <f>StudentData[[#This Row],[Attendance_Percentage]]*40%+StudentData[[#This Row],[Assignments_Completed]]*2+StudentData[[#This Row],[Class_Participation]]*2+StudentData[[#This Row],[Projects_Submitted]]*4</f>
        <v>70.572000000000003</v>
      </c>
      <c r="M303">
        <f>StudentData[[#This Row],[Academic_Score]]*60%+StudentData[[#This Row],[Engagement_Score]]*30%+MIN(StudentData[[#This Row],[Study_Hours_per_Week]],20)/20*100*10%</f>
        <v>79.929200000000009</v>
      </c>
      <c r="N303" s="3" t="str" cm="1">
        <f t="array" ref="N303">_xlfn.IFS(StudentData[[#This Row],[Success_Score]]&gt;=85,"Exceptional",StudentData[[#This Row],[Success_Score]]&gt;=70,"Strong",StudentData[[#This Row],[Success_Score]]&gt;=55,"Developing",TRUE,"Needs Improvement")</f>
        <v>Strong</v>
      </c>
      <c r="O303" s="3" t="str">
        <f t="shared" si="8"/>
        <v>Low Risk</v>
      </c>
      <c r="P303" s="3" t="str">
        <f t="shared" si="9"/>
        <v>18-20</v>
      </c>
    </row>
    <row r="304" spans="1:16">
      <c r="A304" t="s">
        <v>338</v>
      </c>
      <c r="B304">
        <v>20</v>
      </c>
      <c r="C304" t="s">
        <v>4</v>
      </c>
      <c r="D304">
        <v>67.66</v>
      </c>
      <c r="E304">
        <v>0</v>
      </c>
      <c r="F304">
        <v>6.03</v>
      </c>
      <c r="G304">
        <v>24.26</v>
      </c>
      <c r="H304">
        <v>12.46</v>
      </c>
      <c r="I304">
        <v>19</v>
      </c>
      <c r="J304">
        <v>4</v>
      </c>
      <c r="K304">
        <f>(StudentData[[#This Row],[Midterm_Grade]]*40%)+(StudentData[[#This Row],[Final_Grade]]*60%)</f>
        <v>17.18</v>
      </c>
      <c r="L304">
        <f>StudentData[[#This Row],[Attendance_Percentage]]*40%+StudentData[[#This Row],[Assignments_Completed]]*2+StudentData[[#This Row],[Class_Participation]]*2+StudentData[[#This Row],[Projects_Submitted]]*4</f>
        <v>55.124000000000002</v>
      </c>
      <c r="M304">
        <f>StudentData[[#This Row],[Academic_Score]]*60%+StudentData[[#This Row],[Engagement_Score]]*30%+MIN(StudentData[[#This Row],[Study_Hours_per_Week]],20)/20*100*10%</f>
        <v>36.345199999999998</v>
      </c>
      <c r="N304" s="3" t="str" cm="1">
        <f t="array" ref="N30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04" s="3" t="str">
        <f t="shared" si="8"/>
        <v>Medium Risk</v>
      </c>
      <c r="P304" s="3" t="str">
        <f t="shared" si="9"/>
        <v>18-20</v>
      </c>
    </row>
    <row r="305" spans="1:16">
      <c r="A305" t="s">
        <v>339</v>
      </c>
      <c r="B305">
        <v>23</v>
      </c>
      <c r="C305" t="s">
        <v>4</v>
      </c>
      <c r="D305">
        <v>64.83</v>
      </c>
      <c r="E305">
        <v>6</v>
      </c>
      <c r="F305">
        <v>6.19</v>
      </c>
      <c r="G305">
        <v>9.1300000000000008</v>
      </c>
      <c r="H305">
        <v>65.25</v>
      </c>
      <c r="I305">
        <v>18</v>
      </c>
      <c r="J305">
        <v>3</v>
      </c>
      <c r="K305">
        <f>(StudentData[[#This Row],[Midterm_Grade]]*40%)+(StudentData[[#This Row],[Final_Grade]]*60%)</f>
        <v>42.802</v>
      </c>
      <c r="L305">
        <f>StudentData[[#This Row],[Attendance_Percentage]]*40%+StudentData[[#This Row],[Assignments_Completed]]*2+StudentData[[#This Row],[Class_Participation]]*2+StudentData[[#This Row],[Projects_Submitted]]*4</f>
        <v>62.312000000000005</v>
      </c>
      <c r="M305">
        <f>StudentData[[#This Row],[Academic_Score]]*60%+StudentData[[#This Row],[Engagement_Score]]*30%+MIN(StudentData[[#This Row],[Study_Hours_per_Week]],20)/20*100*10%</f>
        <v>53.3748</v>
      </c>
      <c r="N305" s="3" t="str" cm="1">
        <f t="array" ref="N30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05" s="3" t="str">
        <f t="shared" si="8"/>
        <v>Medium Risk</v>
      </c>
      <c r="P305" s="3" t="str">
        <f t="shared" si="9"/>
        <v>21-23</v>
      </c>
    </row>
    <row r="306" spans="1:16">
      <c r="A306" t="s">
        <v>340</v>
      </c>
      <c r="B306">
        <v>19</v>
      </c>
      <c r="C306" t="s">
        <v>5</v>
      </c>
      <c r="D306">
        <v>67.489999999999995</v>
      </c>
      <c r="E306">
        <v>8</v>
      </c>
      <c r="F306">
        <v>9.41</v>
      </c>
      <c r="G306">
        <v>31.87</v>
      </c>
      <c r="H306">
        <v>5.27</v>
      </c>
      <c r="I306">
        <v>13</v>
      </c>
      <c r="J306">
        <v>1</v>
      </c>
      <c r="K306">
        <f>(StudentData[[#This Row],[Midterm_Grade]]*40%)+(StudentData[[#This Row],[Final_Grade]]*60%)</f>
        <v>15.91</v>
      </c>
      <c r="L306">
        <f>StudentData[[#This Row],[Attendance_Percentage]]*40%+StudentData[[#This Row],[Assignments_Completed]]*2+StudentData[[#This Row],[Class_Participation]]*2+StudentData[[#This Row],[Projects_Submitted]]*4</f>
        <v>65.816000000000003</v>
      </c>
      <c r="M306">
        <f>StudentData[[#This Row],[Academic_Score]]*60%+StudentData[[#This Row],[Engagement_Score]]*30%+MIN(StudentData[[#This Row],[Study_Hours_per_Week]],20)/20*100*10%</f>
        <v>35.790800000000004</v>
      </c>
      <c r="N306" s="3" t="str" cm="1">
        <f t="array" ref="N30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06" s="3" t="str">
        <f t="shared" si="8"/>
        <v>Medium Risk</v>
      </c>
      <c r="P306" s="3" t="str">
        <f t="shared" si="9"/>
        <v>18-20</v>
      </c>
    </row>
    <row r="307" spans="1:16">
      <c r="A307" t="s">
        <v>341</v>
      </c>
      <c r="B307">
        <v>22</v>
      </c>
      <c r="C307" t="s">
        <v>4</v>
      </c>
      <c r="D307">
        <v>88.73</v>
      </c>
      <c r="E307">
        <v>7</v>
      </c>
      <c r="F307">
        <v>7.76</v>
      </c>
      <c r="G307">
        <v>10.47</v>
      </c>
      <c r="H307">
        <v>44.62</v>
      </c>
      <c r="I307">
        <v>6</v>
      </c>
      <c r="J307">
        <v>0</v>
      </c>
      <c r="K307">
        <f>(StudentData[[#This Row],[Midterm_Grade]]*40%)+(StudentData[[#This Row],[Final_Grade]]*60%)</f>
        <v>30.96</v>
      </c>
      <c r="L307">
        <f>StudentData[[#This Row],[Attendance_Percentage]]*40%+StudentData[[#This Row],[Assignments_Completed]]*2+StudentData[[#This Row],[Class_Participation]]*2+StudentData[[#This Row],[Projects_Submitted]]*4</f>
        <v>65.012</v>
      </c>
      <c r="M307">
        <f>StudentData[[#This Row],[Academic_Score]]*60%+StudentData[[#This Row],[Engagement_Score]]*30%+MIN(StudentData[[#This Row],[Study_Hours_per_Week]],20)/20*100*10%</f>
        <v>41.079599999999999</v>
      </c>
      <c r="N307" s="3" t="str" cm="1">
        <f t="array" ref="N30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07" s="3" t="str">
        <f t="shared" si="8"/>
        <v>Medium Risk</v>
      </c>
      <c r="P307" s="3" t="str">
        <f t="shared" si="9"/>
        <v>21-23</v>
      </c>
    </row>
    <row r="308" spans="1:16">
      <c r="A308" t="s">
        <v>342</v>
      </c>
      <c r="B308">
        <v>21</v>
      </c>
      <c r="C308" t="s">
        <v>6</v>
      </c>
      <c r="D308">
        <v>83.07</v>
      </c>
      <c r="E308">
        <v>7</v>
      </c>
      <c r="F308">
        <v>1.28</v>
      </c>
      <c r="G308">
        <v>12.86</v>
      </c>
      <c r="H308">
        <v>55.4</v>
      </c>
      <c r="I308">
        <v>4</v>
      </c>
      <c r="J308">
        <v>2</v>
      </c>
      <c r="K308">
        <f>(StudentData[[#This Row],[Midterm_Grade]]*40%)+(StudentData[[#This Row],[Final_Grade]]*60%)</f>
        <v>38.383999999999993</v>
      </c>
      <c r="L308">
        <f>StudentData[[#This Row],[Attendance_Percentage]]*40%+StudentData[[#This Row],[Assignments_Completed]]*2+StudentData[[#This Row],[Class_Participation]]*2+StudentData[[#This Row],[Projects_Submitted]]*4</f>
        <v>57.788000000000004</v>
      </c>
      <c r="M308">
        <f>StudentData[[#This Row],[Academic_Score]]*60%+StudentData[[#This Row],[Engagement_Score]]*30%+MIN(StudentData[[#This Row],[Study_Hours_per_Week]],20)/20*100*10%</f>
        <v>42.366799999999998</v>
      </c>
      <c r="N308" s="3" t="str" cm="1">
        <f t="array" ref="N30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08" s="3" t="str">
        <f t="shared" si="8"/>
        <v>Medium Risk</v>
      </c>
      <c r="P308" s="3" t="str">
        <f t="shared" si="9"/>
        <v>21-23</v>
      </c>
    </row>
    <row r="309" spans="1:16">
      <c r="A309" t="s">
        <v>343</v>
      </c>
      <c r="B309">
        <v>19</v>
      </c>
      <c r="C309" t="s">
        <v>6</v>
      </c>
      <c r="D309">
        <v>59.26</v>
      </c>
      <c r="E309">
        <v>5</v>
      </c>
      <c r="F309">
        <v>3.48</v>
      </c>
      <c r="G309">
        <v>57.39</v>
      </c>
      <c r="H309">
        <v>29.8</v>
      </c>
      <c r="I309">
        <v>17</v>
      </c>
      <c r="J309">
        <v>1</v>
      </c>
      <c r="K309">
        <f>(StudentData[[#This Row],[Midterm_Grade]]*40%)+(StudentData[[#This Row],[Final_Grade]]*60%)</f>
        <v>40.835999999999999</v>
      </c>
      <c r="L309">
        <f>StudentData[[#This Row],[Attendance_Percentage]]*40%+StudentData[[#This Row],[Assignments_Completed]]*2+StudentData[[#This Row],[Class_Participation]]*2+StudentData[[#This Row],[Projects_Submitted]]*4</f>
        <v>44.664000000000001</v>
      </c>
      <c r="M309">
        <f>StudentData[[#This Row],[Academic_Score]]*60%+StudentData[[#This Row],[Engagement_Score]]*30%+MIN(StudentData[[#This Row],[Study_Hours_per_Week]],20)/20*100*10%</f>
        <v>46.400800000000004</v>
      </c>
      <c r="N309" s="3" t="str" cm="1">
        <f t="array" ref="N30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09" s="3" t="str">
        <f t="shared" si="8"/>
        <v>High Risk</v>
      </c>
      <c r="P309" s="3" t="str">
        <f t="shared" si="9"/>
        <v>18-20</v>
      </c>
    </row>
    <row r="310" spans="1:16">
      <c r="A310" t="s">
        <v>344</v>
      </c>
      <c r="B310">
        <v>25</v>
      </c>
      <c r="C310" t="s">
        <v>4</v>
      </c>
      <c r="D310">
        <v>58.71</v>
      </c>
      <c r="E310">
        <v>10</v>
      </c>
      <c r="F310">
        <v>4.3499999999999996</v>
      </c>
      <c r="G310">
        <v>6.09</v>
      </c>
      <c r="H310">
        <v>45.51</v>
      </c>
      <c r="I310">
        <v>1</v>
      </c>
      <c r="J310">
        <v>0</v>
      </c>
      <c r="K310">
        <f>(StudentData[[#This Row],[Midterm_Grade]]*40%)+(StudentData[[#This Row],[Final_Grade]]*60%)</f>
        <v>29.741999999999997</v>
      </c>
      <c r="L310">
        <f>StudentData[[#This Row],[Attendance_Percentage]]*40%+StudentData[[#This Row],[Assignments_Completed]]*2+StudentData[[#This Row],[Class_Participation]]*2+StudentData[[#This Row],[Projects_Submitted]]*4</f>
        <v>52.183999999999997</v>
      </c>
      <c r="M310">
        <f>StudentData[[#This Row],[Academic_Score]]*60%+StudentData[[#This Row],[Engagement_Score]]*30%+MIN(StudentData[[#This Row],[Study_Hours_per_Week]],20)/20*100*10%</f>
        <v>34.000399999999999</v>
      </c>
      <c r="N310" s="3" t="str" cm="1">
        <f t="array" ref="N31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10" s="3" t="str">
        <f t="shared" si="8"/>
        <v>High Risk</v>
      </c>
      <c r="P310" s="3" t="str">
        <f t="shared" si="9"/>
        <v>24-25</v>
      </c>
    </row>
    <row r="311" spans="1:16">
      <c r="A311" t="s">
        <v>345</v>
      </c>
      <c r="B311">
        <v>23</v>
      </c>
      <c r="C311" t="s">
        <v>5</v>
      </c>
      <c r="D311">
        <v>54.92</v>
      </c>
      <c r="E311">
        <v>3</v>
      </c>
      <c r="F311">
        <v>3.96</v>
      </c>
      <c r="G311">
        <v>3.09</v>
      </c>
      <c r="H311">
        <v>16.36</v>
      </c>
      <c r="I311">
        <v>10</v>
      </c>
      <c r="J311">
        <v>0</v>
      </c>
      <c r="K311">
        <f>(StudentData[[#This Row],[Midterm_Grade]]*40%)+(StudentData[[#This Row],[Final_Grade]]*60%)</f>
        <v>11.052</v>
      </c>
      <c r="L311">
        <f>StudentData[[#This Row],[Attendance_Percentage]]*40%+StudentData[[#This Row],[Assignments_Completed]]*2+StudentData[[#This Row],[Class_Participation]]*2+StudentData[[#This Row],[Projects_Submitted]]*4</f>
        <v>35.888000000000005</v>
      </c>
      <c r="M311">
        <f>StudentData[[#This Row],[Academic_Score]]*60%+StudentData[[#This Row],[Engagement_Score]]*30%+MIN(StudentData[[#This Row],[Study_Hours_per_Week]],20)/20*100*10%</f>
        <v>22.397600000000001</v>
      </c>
      <c r="N311" s="3" t="str" cm="1">
        <f t="array" ref="N31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11" s="3" t="str">
        <f t="shared" si="8"/>
        <v>High Risk</v>
      </c>
      <c r="P311" s="3" t="str">
        <f t="shared" si="9"/>
        <v>21-23</v>
      </c>
    </row>
    <row r="312" spans="1:16">
      <c r="A312" t="s">
        <v>346</v>
      </c>
      <c r="B312">
        <v>25</v>
      </c>
      <c r="C312" t="s">
        <v>6</v>
      </c>
      <c r="D312">
        <v>83.02</v>
      </c>
      <c r="E312">
        <v>7</v>
      </c>
      <c r="F312">
        <v>6.69</v>
      </c>
      <c r="G312">
        <v>71.44</v>
      </c>
      <c r="H312">
        <v>30.41</v>
      </c>
      <c r="I312">
        <v>7</v>
      </c>
      <c r="J312">
        <v>0</v>
      </c>
      <c r="K312">
        <f>(StudentData[[#This Row],[Midterm_Grade]]*40%)+(StudentData[[#This Row],[Final_Grade]]*60%)</f>
        <v>46.822000000000003</v>
      </c>
      <c r="L312">
        <f>StudentData[[#This Row],[Attendance_Percentage]]*40%+StudentData[[#This Row],[Assignments_Completed]]*2+StudentData[[#This Row],[Class_Participation]]*2+StudentData[[#This Row],[Projects_Submitted]]*4</f>
        <v>60.588000000000001</v>
      </c>
      <c r="M312">
        <f>StudentData[[#This Row],[Academic_Score]]*60%+StudentData[[#This Row],[Engagement_Score]]*30%+MIN(StudentData[[#This Row],[Study_Hours_per_Week]],20)/20*100*10%</f>
        <v>49.769599999999997</v>
      </c>
      <c r="N312" s="3" t="str" cm="1">
        <f t="array" ref="N31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12" s="3" t="str">
        <f t="shared" si="8"/>
        <v>Medium Risk</v>
      </c>
      <c r="P312" s="3" t="str">
        <f t="shared" si="9"/>
        <v>24-25</v>
      </c>
    </row>
    <row r="313" spans="1:16">
      <c r="A313" t="s">
        <v>347</v>
      </c>
      <c r="B313">
        <v>24</v>
      </c>
      <c r="C313" t="s">
        <v>4</v>
      </c>
      <c r="D313">
        <v>88.22</v>
      </c>
      <c r="E313">
        <v>2</v>
      </c>
      <c r="F313">
        <v>8.92</v>
      </c>
      <c r="G313">
        <v>36.159999999999997</v>
      </c>
      <c r="H313">
        <v>62.11</v>
      </c>
      <c r="I313">
        <v>0</v>
      </c>
      <c r="J313">
        <v>5</v>
      </c>
      <c r="K313">
        <f>(StudentData[[#This Row],[Midterm_Grade]]*40%)+(StudentData[[#This Row],[Final_Grade]]*60%)</f>
        <v>51.73</v>
      </c>
      <c r="L313">
        <f>StudentData[[#This Row],[Attendance_Percentage]]*40%+StudentData[[#This Row],[Assignments_Completed]]*2+StudentData[[#This Row],[Class_Participation]]*2+StudentData[[#This Row],[Projects_Submitted]]*4</f>
        <v>77.128</v>
      </c>
      <c r="M313">
        <f>StudentData[[#This Row],[Academic_Score]]*60%+StudentData[[#This Row],[Engagement_Score]]*30%+MIN(StudentData[[#This Row],[Study_Hours_per_Week]],20)/20*100*10%</f>
        <v>54.176400000000001</v>
      </c>
      <c r="N313" s="3" t="str" cm="1">
        <f t="array" ref="N31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13" s="3" t="str">
        <f t="shared" si="8"/>
        <v>Medium Risk</v>
      </c>
      <c r="P313" s="3" t="str">
        <f t="shared" si="9"/>
        <v>24-25</v>
      </c>
    </row>
    <row r="314" spans="1:16">
      <c r="A314" t="s">
        <v>348</v>
      </c>
      <c r="B314">
        <v>21</v>
      </c>
      <c r="C314" t="s">
        <v>5</v>
      </c>
      <c r="D314">
        <v>63.25</v>
      </c>
      <c r="E314">
        <v>8</v>
      </c>
      <c r="F314">
        <v>3.06</v>
      </c>
      <c r="G314">
        <v>12.54</v>
      </c>
      <c r="H314">
        <v>30.18</v>
      </c>
      <c r="I314">
        <v>11</v>
      </c>
      <c r="J314">
        <v>1</v>
      </c>
      <c r="K314">
        <f>(StudentData[[#This Row],[Midterm_Grade]]*40%)+(StudentData[[#This Row],[Final_Grade]]*60%)</f>
        <v>23.124000000000002</v>
      </c>
      <c r="L314">
        <f>StudentData[[#This Row],[Attendance_Percentage]]*40%+StudentData[[#This Row],[Assignments_Completed]]*2+StudentData[[#This Row],[Class_Participation]]*2+StudentData[[#This Row],[Projects_Submitted]]*4</f>
        <v>51.419999999999995</v>
      </c>
      <c r="M314">
        <f>StudentData[[#This Row],[Academic_Score]]*60%+StudentData[[#This Row],[Engagement_Score]]*30%+MIN(StudentData[[#This Row],[Study_Hours_per_Week]],20)/20*100*10%</f>
        <v>34.800400000000003</v>
      </c>
      <c r="N314" s="3" t="str" cm="1">
        <f t="array" ref="N31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14" s="3" t="str">
        <f t="shared" si="8"/>
        <v>Medium Risk</v>
      </c>
      <c r="P314" s="3" t="str">
        <f t="shared" si="9"/>
        <v>21-23</v>
      </c>
    </row>
    <row r="315" spans="1:16">
      <c r="A315" t="s">
        <v>349</v>
      </c>
      <c r="B315">
        <v>24</v>
      </c>
      <c r="C315" t="s">
        <v>6</v>
      </c>
      <c r="D315">
        <v>51.05</v>
      </c>
      <c r="E315">
        <v>1</v>
      </c>
      <c r="F315">
        <v>5.52</v>
      </c>
      <c r="G315">
        <v>25.36</v>
      </c>
      <c r="H315">
        <v>89.97</v>
      </c>
      <c r="I315">
        <v>1</v>
      </c>
      <c r="J315">
        <v>2</v>
      </c>
      <c r="K315">
        <f>(StudentData[[#This Row],[Midterm_Grade]]*40%)+(StudentData[[#This Row],[Final_Grade]]*60%)</f>
        <v>64.126000000000005</v>
      </c>
      <c r="L315">
        <f>StudentData[[#This Row],[Attendance_Percentage]]*40%+StudentData[[#This Row],[Assignments_Completed]]*2+StudentData[[#This Row],[Class_Participation]]*2+StudentData[[#This Row],[Projects_Submitted]]*4</f>
        <v>41.46</v>
      </c>
      <c r="M315">
        <f>StudentData[[#This Row],[Academic_Score]]*60%+StudentData[[#This Row],[Engagement_Score]]*30%+MIN(StudentData[[#This Row],[Study_Hours_per_Week]],20)/20*100*10%</f>
        <v>51.413600000000002</v>
      </c>
      <c r="N315" s="3" t="str" cm="1">
        <f t="array" ref="N31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15" s="3" t="str">
        <f t="shared" si="8"/>
        <v>Medium Risk</v>
      </c>
      <c r="P315" s="3" t="str">
        <f t="shared" si="9"/>
        <v>24-25</v>
      </c>
    </row>
    <row r="316" spans="1:16">
      <c r="A316" t="s">
        <v>350</v>
      </c>
      <c r="B316">
        <v>20</v>
      </c>
      <c r="C316" t="s">
        <v>4</v>
      </c>
      <c r="D316">
        <v>54.11</v>
      </c>
      <c r="E316">
        <v>1</v>
      </c>
      <c r="F316">
        <v>7.89</v>
      </c>
      <c r="G316">
        <v>64.209999999999994</v>
      </c>
      <c r="H316">
        <v>62.84</v>
      </c>
      <c r="I316">
        <v>17</v>
      </c>
      <c r="J316">
        <v>2</v>
      </c>
      <c r="K316">
        <f>(StudentData[[#This Row],[Midterm_Grade]]*40%)+(StudentData[[#This Row],[Final_Grade]]*60%)</f>
        <v>63.387999999999998</v>
      </c>
      <c r="L316">
        <f>StudentData[[#This Row],[Attendance_Percentage]]*40%+StudentData[[#This Row],[Assignments_Completed]]*2+StudentData[[#This Row],[Class_Participation]]*2+StudentData[[#This Row],[Projects_Submitted]]*4</f>
        <v>47.423999999999999</v>
      </c>
      <c r="M316">
        <f>StudentData[[#This Row],[Academic_Score]]*60%+StudentData[[#This Row],[Engagement_Score]]*30%+MIN(StudentData[[#This Row],[Study_Hours_per_Week]],20)/20*100*10%</f>
        <v>60.759999999999991</v>
      </c>
      <c r="N316" s="3" t="str" cm="1">
        <f t="array" ref="N316">_xlfn.IFS(StudentData[[#This Row],[Success_Score]]&gt;=85,"Exceptional",StudentData[[#This Row],[Success_Score]]&gt;=70,"Strong",StudentData[[#This Row],[Success_Score]]&gt;=55,"Developing",TRUE,"Needs Improvement")</f>
        <v>Developing</v>
      </c>
      <c r="O316" s="3" t="str">
        <f t="shared" si="8"/>
        <v>Medium Risk</v>
      </c>
      <c r="P316" s="3" t="str">
        <f t="shared" si="9"/>
        <v>18-20</v>
      </c>
    </row>
    <row r="317" spans="1:16">
      <c r="A317" t="s">
        <v>351</v>
      </c>
      <c r="B317">
        <v>25</v>
      </c>
      <c r="C317" t="s">
        <v>4</v>
      </c>
      <c r="D317">
        <v>98.39</v>
      </c>
      <c r="E317">
        <v>6</v>
      </c>
      <c r="F317">
        <v>4.16</v>
      </c>
      <c r="G317">
        <v>27.55</v>
      </c>
      <c r="H317">
        <v>43.86</v>
      </c>
      <c r="I317">
        <v>6</v>
      </c>
      <c r="J317">
        <v>0</v>
      </c>
      <c r="K317">
        <f>(StudentData[[#This Row],[Midterm_Grade]]*40%)+(StudentData[[#This Row],[Final_Grade]]*60%)</f>
        <v>37.335999999999999</v>
      </c>
      <c r="L317">
        <f>StudentData[[#This Row],[Attendance_Percentage]]*40%+StudentData[[#This Row],[Assignments_Completed]]*2+StudentData[[#This Row],[Class_Participation]]*2+StudentData[[#This Row],[Projects_Submitted]]*4</f>
        <v>59.676000000000002</v>
      </c>
      <c r="M317">
        <f>StudentData[[#This Row],[Academic_Score]]*60%+StudentData[[#This Row],[Engagement_Score]]*30%+MIN(StudentData[[#This Row],[Study_Hours_per_Week]],20)/20*100*10%</f>
        <v>43.304400000000001</v>
      </c>
      <c r="N317" s="3" t="str" cm="1">
        <f t="array" ref="N31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17" s="3" t="str">
        <f t="shared" si="8"/>
        <v>Medium Risk</v>
      </c>
      <c r="P317" s="3" t="str">
        <f t="shared" si="9"/>
        <v>24-25</v>
      </c>
    </row>
    <row r="318" spans="1:16">
      <c r="A318" t="s">
        <v>352</v>
      </c>
      <c r="B318">
        <v>20</v>
      </c>
      <c r="C318" t="s">
        <v>4</v>
      </c>
      <c r="D318">
        <v>64.77</v>
      </c>
      <c r="E318">
        <v>9</v>
      </c>
      <c r="F318">
        <v>1.68</v>
      </c>
      <c r="G318">
        <v>49.45</v>
      </c>
      <c r="H318">
        <v>3.88</v>
      </c>
      <c r="I318">
        <v>16</v>
      </c>
      <c r="J318">
        <v>1</v>
      </c>
      <c r="K318">
        <f>(StudentData[[#This Row],[Midterm_Grade]]*40%)+(StudentData[[#This Row],[Final_Grade]]*60%)</f>
        <v>22.108000000000001</v>
      </c>
      <c r="L318">
        <f>StudentData[[#This Row],[Attendance_Percentage]]*40%+StudentData[[#This Row],[Assignments_Completed]]*2+StudentData[[#This Row],[Class_Participation]]*2+StudentData[[#This Row],[Projects_Submitted]]*4</f>
        <v>51.268000000000001</v>
      </c>
      <c r="M318">
        <f>StudentData[[#This Row],[Academic_Score]]*60%+StudentData[[#This Row],[Engagement_Score]]*30%+MIN(StudentData[[#This Row],[Study_Hours_per_Week]],20)/20*100*10%</f>
        <v>36.645200000000003</v>
      </c>
      <c r="N318" s="3" t="str" cm="1">
        <f t="array" ref="N31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18" s="3" t="str">
        <f t="shared" si="8"/>
        <v>Medium Risk</v>
      </c>
      <c r="P318" s="3" t="str">
        <f t="shared" si="9"/>
        <v>18-20</v>
      </c>
    </row>
    <row r="319" spans="1:16">
      <c r="A319" t="s">
        <v>353</v>
      </c>
      <c r="B319">
        <v>18</v>
      </c>
      <c r="C319" t="s">
        <v>5</v>
      </c>
      <c r="D319">
        <v>88.46</v>
      </c>
      <c r="E319">
        <v>3</v>
      </c>
      <c r="F319">
        <v>4.75</v>
      </c>
      <c r="G319">
        <v>12.17</v>
      </c>
      <c r="H319">
        <v>49.95</v>
      </c>
      <c r="I319">
        <v>13</v>
      </c>
      <c r="J319">
        <v>5</v>
      </c>
      <c r="K319">
        <f>(StudentData[[#This Row],[Midterm_Grade]]*40%)+(StudentData[[#This Row],[Final_Grade]]*60%)</f>
        <v>34.838000000000001</v>
      </c>
      <c r="L319">
        <f>StudentData[[#This Row],[Attendance_Percentage]]*40%+StudentData[[#This Row],[Assignments_Completed]]*2+StudentData[[#This Row],[Class_Participation]]*2+StudentData[[#This Row],[Projects_Submitted]]*4</f>
        <v>70.884</v>
      </c>
      <c r="M319">
        <f>StudentData[[#This Row],[Academic_Score]]*60%+StudentData[[#This Row],[Engagement_Score]]*30%+MIN(StudentData[[#This Row],[Study_Hours_per_Week]],20)/20*100*10%</f>
        <v>48.667999999999999</v>
      </c>
      <c r="N319" s="3" t="str" cm="1">
        <f t="array" ref="N31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19" s="3" t="str">
        <f t="shared" si="8"/>
        <v>Medium Risk</v>
      </c>
      <c r="P319" s="3" t="str">
        <f t="shared" si="9"/>
        <v>18-20</v>
      </c>
    </row>
    <row r="320" spans="1:16">
      <c r="A320" t="s">
        <v>354</v>
      </c>
      <c r="B320">
        <v>24</v>
      </c>
      <c r="C320" t="s">
        <v>5</v>
      </c>
      <c r="D320">
        <v>81.23</v>
      </c>
      <c r="E320">
        <v>9</v>
      </c>
      <c r="F320">
        <v>0.55000000000000004</v>
      </c>
      <c r="G320">
        <v>58.81</v>
      </c>
      <c r="H320">
        <v>76.48</v>
      </c>
      <c r="I320">
        <v>6</v>
      </c>
      <c r="J320">
        <v>0</v>
      </c>
      <c r="K320">
        <f>(StudentData[[#This Row],[Midterm_Grade]]*40%)+(StudentData[[#This Row],[Final_Grade]]*60%)</f>
        <v>69.412000000000006</v>
      </c>
      <c r="L320">
        <f>StudentData[[#This Row],[Attendance_Percentage]]*40%+StudentData[[#This Row],[Assignments_Completed]]*2+StudentData[[#This Row],[Class_Participation]]*2+StudentData[[#This Row],[Projects_Submitted]]*4</f>
        <v>51.592000000000006</v>
      </c>
      <c r="M320">
        <f>StudentData[[#This Row],[Academic_Score]]*60%+StudentData[[#This Row],[Engagement_Score]]*30%+MIN(StudentData[[#This Row],[Study_Hours_per_Week]],20)/20*100*10%</f>
        <v>60.124800000000008</v>
      </c>
      <c r="N320" s="3" t="str" cm="1">
        <f t="array" ref="N320">_xlfn.IFS(StudentData[[#This Row],[Success_Score]]&gt;=85,"Exceptional",StudentData[[#This Row],[Success_Score]]&gt;=70,"Strong",StudentData[[#This Row],[Success_Score]]&gt;=55,"Developing",TRUE,"Needs Improvement")</f>
        <v>Developing</v>
      </c>
      <c r="O320" s="3" t="str">
        <f t="shared" si="8"/>
        <v>Low Risk</v>
      </c>
      <c r="P320" s="3" t="str">
        <f t="shared" si="9"/>
        <v>24-25</v>
      </c>
    </row>
    <row r="321" spans="1:16">
      <c r="A321" t="s">
        <v>355</v>
      </c>
      <c r="B321">
        <v>23</v>
      </c>
      <c r="C321" t="s">
        <v>5</v>
      </c>
      <c r="D321">
        <v>69.099999999999994</v>
      </c>
      <c r="E321">
        <v>7</v>
      </c>
      <c r="F321">
        <v>9.42</v>
      </c>
      <c r="G321">
        <v>31.61</v>
      </c>
      <c r="H321">
        <v>26.56</v>
      </c>
      <c r="I321">
        <v>2</v>
      </c>
      <c r="J321">
        <v>4</v>
      </c>
      <c r="K321">
        <f>(StudentData[[#This Row],[Midterm_Grade]]*40%)+(StudentData[[#This Row],[Final_Grade]]*60%)</f>
        <v>28.58</v>
      </c>
      <c r="L321">
        <f>StudentData[[#This Row],[Attendance_Percentage]]*40%+StudentData[[#This Row],[Assignments_Completed]]*2+StudentData[[#This Row],[Class_Participation]]*2+StudentData[[#This Row],[Projects_Submitted]]*4</f>
        <v>76.48</v>
      </c>
      <c r="M321">
        <f>StudentData[[#This Row],[Academic_Score]]*60%+StudentData[[#This Row],[Engagement_Score]]*30%+MIN(StudentData[[#This Row],[Study_Hours_per_Week]],20)/20*100*10%</f>
        <v>41.091999999999999</v>
      </c>
      <c r="N321" s="3" t="str" cm="1">
        <f t="array" ref="N32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21" s="3" t="str">
        <f t="shared" si="8"/>
        <v>Medium Risk</v>
      </c>
      <c r="P321" s="3" t="str">
        <f t="shared" si="9"/>
        <v>21-23</v>
      </c>
    </row>
    <row r="322" spans="1:16">
      <c r="A322" t="s">
        <v>356</v>
      </c>
      <c r="B322">
        <v>25</v>
      </c>
      <c r="C322" t="s">
        <v>4</v>
      </c>
      <c r="D322">
        <v>60.28</v>
      </c>
      <c r="E322">
        <v>8</v>
      </c>
      <c r="F322">
        <v>0.75</v>
      </c>
      <c r="G322">
        <v>62.7</v>
      </c>
      <c r="H322">
        <v>80.680000000000007</v>
      </c>
      <c r="I322">
        <v>5</v>
      </c>
      <c r="J322">
        <v>2</v>
      </c>
      <c r="K322">
        <f>(StudentData[[#This Row],[Midterm_Grade]]*40%)+(StudentData[[#This Row],[Final_Grade]]*60%)</f>
        <v>73.488</v>
      </c>
      <c r="L322">
        <f>StudentData[[#This Row],[Attendance_Percentage]]*40%+StudentData[[#This Row],[Assignments_Completed]]*2+StudentData[[#This Row],[Class_Participation]]*2+StudentData[[#This Row],[Projects_Submitted]]*4</f>
        <v>49.612000000000002</v>
      </c>
      <c r="M322">
        <f>StudentData[[#This Row],[Academic_Score]]*60%+StudentData[[#This Row],[Engagement_Score]]*30%+MIN(StudentData[[#This Row],[Study_Hours_per_Week]],20)/20*100*10%</f>
        <v>61.476399999999998</v>
      </c>
      <c r="N322" s="3" t="str" cm="1">
        <f t="array" ref="N322">_xlfn.IFS(StudentData[[#This Row],[Success_Score]]&gt;=85,"Exceptional",StudentData[[#This Row],[Success_Score]]&gt;=70,"Strong",StudentData[[#This Row],[Success_Score]]&gt;=55,"Developing",TRUE,"Needs Improvement")</f>
        <v>Developing</v>
      </c>
      <c r="O322" s="3" t="str">
        <f t="shared" ref="O322:O385" si="10">IF(AND(D322&lt;60,K322&lt;50),"High Risk",IF(OR(D322&lt;70,K322&lt;60),"Medium Risk","Low Risk"))</f>
        <v>Medium Risk</v>
      </c>
      <c r="P322" s="3" t="str">
        <f t="shared" ref="P322:P385" si="11">IF(B322&lt;=20,"18-20",IF(B322&lt;=23,"21-23","24-25"))</f>
        <v>24-25</v>
      </c>
    </row>
    <row r="323" spans="1:16">
      <c r="A323" t="s">
        <v>357</v>
      </c>
      <c r="B323">
        <v>22</v>
      </c>
      <c r="C323" t="s">
        <v>5</v>
      </c>
      <c r="D323">
        <v>56.07</v>
      </c>
      <c r="E323">
        <v>6</v>
      </c>
      <c r="F323">
        <v>4.38</v>
      </c>
      <c r="G323">
        <v>80.84</v>
      </c>
      <c r="H323">
        <v>25.18</v>
      </c>
      <c r="I323">
        <v>19</v>
      </c>
      <c r="J323">
        <v>3</v>
      </c>
      <c r="K323">
        <f>(StudentData[[#This Row],[Midterm_Grade]]*40%)+(StudentData[[#This Row],[Final_Grade]]*60%)</f>
        <v>47.444000000000003</v>
      </c>
      <c r="L323">
        <f>StudentData[[#This Row],[Attendance_Percentage]]*40%+StudentData[[#This Row],[Assignments_Completed]]*2+StudentData[[#This Row],[Class_Participation]]*2+StudentData[[#This Row],[Projects_Submitted]]*4</f>
        <v>55.187999999999995</v>
      </c>
      <c r="M323">
        <f>StudentData[[#This Row],[Academic_Score]]*60%+StudentData[[#This Row],[Engagement_Score]]*30%+MIN(StudentData[[#This Row],[Study_Hours_per_Week]],20)/20*100*10%</f>
        <v>54.522799999999997</v>
      </c>
      <c r="N323" s="3" t="str" cm="1">
        <f t="array" ref="N32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23" s="3" t="str">
        <f t="shared" si="10"/>
        <v>High Risk</v>
      </c>
      <c r="P323" s="3" t="str">
        <f t="shared" si="11"/>
        <v>21-23</v>
      </c>
    </row>
    <row r="324" spans="1:16">
      <c r="A324" t="s">
        <v>358</v>
      </c>
      <c r="B324">
        <v>21</v>
      </c>
      <c r="C324" t="s">
        <v>5</v>
      </c>
      <c r="D324">
        <v>80.75</v>
      </c>
      <c r="E324">
        <v>4</v>
      </c>
      <c r="F324">
        <v>5.3</v>
      </c>
      <c r="G324">
        <v>61.16</v>
      </c>
      <c r="H324">
        <v>82.37</v>
      </c>
      <c r="I324">
        <v>1</v>
      </c>
      <c r="J324">
        <v>0</v>
      </c>
      <c r="K324">
        <f>(StudentData[[#This Row],[Midterm_Grade]]*40%)+(StudentData[[#This Row],[Final_Grade]]*60%)</f>
        <v>73.885999999999996</v>
      </c>
      <c r="L324">
        <f>StudentData[[#This Row],[Attendance_Percentage]]*40%+StudentData[[#This Row],[Assignments_Completed]]*2+StudentData[[#This Row],[Class_Participation]]*2+StudentData[[#This Row],[Projects_Submitted]]*4</f>
        <v>50.900000000000006</v>
      </c>
      <c r="M324">
        <f>StudentData[[#This Row],[Academic_Score]]*60%+StudentData[[#This Row],[Engagement_Score]]*30%+MIN(StudentData[[#This Row],[Study_Hours_per_Week]],20)/20*100*10%</f>
        <v>60.101599999999998</v>
      </c>
      <c r="N324" s="3" t="str" cm="1">
        <f t="array" ref="N324">_xlfn.IFS(StudentData[[#This Row],[Success_Score]]&gt;=85,"Exceptional",StudentData[[#This Row],[Success_Score]]&gt;=70,"Strong",StudentData[[#This Row],[Success_Score]]&gt;=55,"Developing",TRUE,"Needs Improvement")</f>
        <v>Developing</v>
      </c>
      <c r="O324" s="3" t="str">
        <f t="shared" si="10"/>
        <v>Low Risk</v>
      </c>
      <c r="P324" s="3" t="str">
        <f t="shared" si="11"/>
        <v>21-23</v>
      </c>
    </row>
    <row r="325" spans="1:16">
      <c r="A325" t="s">
        <v>359</v>
      </c>
      <c r="B325">
        <v>19</v>
      </c>
      <c r="C325" t="s">
        <v>5</v>
      </c>
      <c r="D325">
        <v>88.73</v>
      </c>
      <c r="E325">
        <v>7</v>
      </c>
      <c r="F325">
        <v>9.85</v>
      </c>
      <c r="G325">
        <v>29.57</v>
      </c>
      <c r="H325">
        <v>8.5299999999999994</v>
      </c>
      <c r="I325">
        <v>16</v>
      </c>
      <c r="J325">
        <v>4</v>
      </c>
      <c r="K325">
        <f>(StudentData[[#This Row],[Midterm_Grade]]*40%)+(StudentData[[#This Row],[Final_Grade]]*60%)</f>
        <v>16.946000000000002</v>
      </c>
      <c r="L325">
        <f>StudentData[[#This Row],[Attendance_Percentage]]*40%+StudentData[[#This Row],[Assignments_Completed]]*2+StudentData[[#This Row],[Class_Participation]]*2+StudentData[[#This Row],[Projects_Submitted]]*4</f>
        <v>85.192000000000007</v>
      </c>
      <c r="M325">
        <f>StudentData[[#This Row],[Academic_Score]]*60%+StudentData[[#This Row],[Engagement_Score]]*30%+MIN(StudentData[[#This Row],[Study_Hours_per_Week]],20)/20*100*10%</f>
        <v>43.725200000000001</v>
      </c>
      <c r="N325" s="3" t="str" cm="1">
        <f t="array" ref="N32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25" s="3" t="str">
        <f t="shared" si="10"/>
        <v>Medium Risk</v>
      </c>
      <c r="P325" s="3" t="str">
        <f t="shared" si="11"/>
        <v>18-20</v>
      </c>
    </row>
    <row r="326" spans="1:16">
      <c r="A326" t="s">
        <v>360</v>
      </c>
      <c r="B326">
        <v>23</v>
      </c>
      <c r="C326" t="s">
        <v>4</v>
      </c>
      <c r="D326">
        <v>82.2</v>
      </c>
      <c r="E326">
        <v>3</v>
      </c>
      <c r="F326">
        <v>1.66</v>
      </c>
      <c r="G326">
        <v>25.57</v>
      </c>
      <c r="H326">
        <v>86.62</v>
      </c>
      <c r="I326">
        <v>11</v>
      </c>
      <c r="J326">
        <v>2</v>
      </c>
      <c r="K326">
        <f>(StudentData[[#This Row],[Midterm_Grade]]*40%)+(StudentData[[#This Row],[Final_Grade]]*60%)</f>
        <v>62.2</v>
      </c>
      <c r="L326">
        <f>StudentData[[#This Row],[Attendance_Percentage]]*40%+StudentData[[#This Row],[Assignments_Completed]]*2+StudentData[[#This Row],[Class_Participation]]*2+StudentData[[#This Row],[Projects_Submitted]]*4</f>
        <v>50.2</v>
      </c>
      <c r="M326">
        <f>StudentData[[#This Row],[Academic_Score]]*60%+StudentData[[#This Row],[Engagement_Score]]*30%+MIN(StudentData[[#This Row],[Study_Hours_per_Week]],20)/20*100*10%</f>
        <v>57.88</v>
      </c>
      <c r="N326" s="3" t="str" cm="1">
        <f t="array" ref="N326">_xlfn.IFS(StudentData[[#This Row],[Success_Score]]&gt;=85,"Exceptional",StudentData[[#This Row],[Success_Score]]&gt;=70,"Strong",StudentData[[#This Row],[Success_Score]]&gt;=55,"Developing",TRUE,"Needs Improvement")</f>
        <v>Developing</v>
      </c>
      <c r="O326" s="3" t="str">
        <f t="shared" si="10"/>
        <v>Low Risk</v>
      </c>
      <c r="P326" s="3" t="str">
        <f t="shared" si="11"/>
        <v>21-23</v>
      </c>
    </row>
    <row r="327" spans="1:16">
      <c r="A327" t="s">
        <v>361</v>
      </c>
      <c r="B327">
        <v>23</v>
      </c>
      <c r="C327" t="s">
        <v>6</v>
      </c>
      <c r="D327">
        <v>76.52</v>
      </c>
      <c r="E327">
        <v>1</v>
      </c>
      <c r="F327">
        <v>1.1399999999999999</v>
      </c>
      <c r="G327">
        <v>32.74</v>
      </c>
      <c r="H327">
        <v>49.92</v>
      </c>
      <c r="I327">
        <v>11</v>
      </c>
      <c r="J327">
        <v>5</v>
      </c>
      <c r="K327">
        <f>(StudentData[[#This Row],[Midterm_Grade]]*40%)+(StudentData[[#This Row],[Final_Grade]]*60%)</f>
        <v>43.048000000000002</v>
      </c>
      <c r="L327">
        <f>StudentData[[#This Row],[Attendance_Percentage]]*40%+StudentData[[#This Row],[Assignments_Completed]]*2+StudentData[[#This Row],[Class_Participation]]*2+StudentData[[#This Row],[Projects_Submitted]]*4</f>
        <v>54.888000000000005</v>
      </c>
      <c r="M327">
        <f>StudentData[[#This Row],[Academic_Score]]*60%+StudentData[[#This Row],[Engagement_Score]]*30%+MIN(StudentData[[#This Row],[Study_Hours_per_Week]],20)/20*100*10%</f>
        <v>47.795200000000001</v>
      </c>
      <c r="N327" s="3" t="str" cm="1">
        <f t="array" ref="N32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27" s="3" t="str">
        <f t="shared" si="10"/>
        <v>Medium Risk</v>
      </c>
      <c r="P327" s="3" t="str">
        <f t="shared" si="11"/>
        <v>21-23</v>
      </c>
    </row>
    <row r="328" spans="1:16">
      <c r="A328" t="s">
        <v>362</v>
      </c>
      <c r="B328">
        <v>20</v>
      </c>
      <c r="C328" t="s">
        <v>5</v>
      </c>
      <c r="D328">
        <v>52.1</v>
      </c>
      <c r="E328">
        <v>10</v>
      </c>
      <c r="F328">
        <v>0.09</v>
      </c>
      <c r="G328">
        <v>16.46</v>
      </c>
      <c r="H328">
        <v>29.65</v>
      </c>
      <c r="I328">
        <v>16</v>
      </c>
      <c r="J328">
        <v>1</v>
      </c>
      <c r="K328">
        <f>(StudentData[[#This Row],[Midterm_Grade]]*40%)+(StudentData[[#This Row],[Final_Grade]]*60%)</f>
        <v>24.373999999999999</v>
      </c>
      <c r="L328">
        <f>StudentData[[#This Row],[Attendance_Percentage]]*40%+StudentData[[#This Row],[Assignments_Completed]]*2+StudentData[[#This Row],[Class_Participation]]*2+StudentData[[#This Row],[Projects_Submitted]]*4</f>
        <v>45.02</v>
      </c>
      <c r="M328">
        <f>StudentData[[#This Row],[Academic_Score]]*60%+StudentData[[#This Row],[Engagement_Score]]*30%+MIN(StudentData[[#This Row],[Study_Hours_per_Week]],20)/20*100*10%</f>
        <v>36.130399999999995</v>
      </c>
      <c r="N328" s="3" t="str" cm="1">
        <f t="array" ref="N32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28" s="3" t="str">
        <f t="shared" si="10"/>
        <v>High Risk</v>
      </c>
      <c r="P328" s="3" t="str">
        <f t="shared" si="11"/>
        <v>18-20</v>
      </c>
    </row>
    <row r="329" spans="1:16">
      <c r="A329" t="s">
        <v>363</v>
      </c>
      <c r="B329">
        <v>24</v>
      </c>
      <c r="C329" t="s">
        <v>5</v>
      </c>
      <c r="D329">
        <v>98.42</v>
      </c>
      <c r="E329">
        <v>5</v>
      </c>
      <c r="F329">
        <v>1.56</v>
      </c>
      <c r="G329">
        <v>18.12</v>
      </c>
      <c r="H329">
        <v>26.51</v>
      </c>
      <c r="I329">
        <v>9</v>
      </c>
      <c r="J329">
        <v>2</v>
      </c>
      <c r="K329">
        <f>(StudentData[[#This Row],[Midterm_Grade]]*40%)+(StudentData[[#This Row],[Final_Grade]]*60%)</f>
        <v>23.154000000000003</v>
      </c>
      <c r="L329">
        <f>StudentData[[#This Row],[Attendance_Percentage]]*40%+StudentData[[#This Row],[Assignments_Completed]]*2+StudentData[[#This Row],[Class_Participation]]*2+StudentData[[#This Row],[Projects_Submitted]]*4</f>
        <v>60.488</v>
      </c>
      <c r="M329">
        <f>StudentData[[#This Row],[Academic_Score]]*60%+StudentData[[#This Row],[Engagement_Score]]*30%+MIN(StudentData[[#This Row],[Study_Hours_per_Week]],20)/20*100*10%</f>
        <v>36.538800000000002</v>
      </c>
      <c r="N329" s="3" t="str" cm="1">
        <f t="array" ref="N32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29" s="3" t="str">
        <f t="shared" si="10"/>
        <v>Medium Risk</v>
      </c>
      <c r="P329" s="3" t="str">
        <f t="shared" si="11"/>
        <v>24-25</v>
      </c>
    </row>
    <row r="330" spans="1:16">
      <c r="A330" t="s">
        <v>364</v>
      </c>
      <c r="B330">
        <v>25</v>
      </c>
      <c r="C330" t="s">
        <v>4</v>
      </c>
      <c r="D330">
        <v>89.94</v>
      </c>
      <c r="E330">
        <v>8</v>
      </c>
      <c r="F330">
        <v>2.0699999999999998</v>
      </c>
      <c r="G330">
        <v>79.069999999999993</v>
      </c>
      <c r="H330">
        <v>43.2</v>
      </c>
      <c r="I330">
        <v>2</v>
      </c>
      <c r="J330">
        <v>1</v>
      </c>
      <c r="K330">
        <f>(StudentData[[#This Row],[Midterm_Grade]]*40%)+(StudentData[[#This Row],[Final_Grade]]*60%)</f>
        <v>57.548000000000002</v>
      </c>
      <c r="L330">
        <f>StudentData[[#This Row],[Attendance_Percentage]]*40%+StudentData[[#This Row],[Assignments_Completed]]*2+StudentData[[#This Row],[Class_Participation]]*2+StudentData[[#This Row],[Projects_Submitted]]*4</f>
        <v>60.116</v>
      </c>
      <c r="M330">
        <f>StudentData[[#This Row],[Academic_Score]]*60%+StudentData[[#This Row],[Engagement_Score]]*30%+MIN(StudentData[[#This Row],[Study_Hours_per_Week]],20)/20*100*10%</f>
        <v>53.563599999999994</v>
      </c>
      <c r="N330" s="3" t="str" cm="1">
        <f t="array" ref="N33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30" s="3" t="str">
        <f t="shared" si="10"/>
        <v>Medium Risk</v>
      </c>
      <c r="P330" s="3" t="str">
        <f t="shared" si="11"/>
        <v>24-25</v>
      </c>
    </row>
    <row r="331" spans="1:16">
      <c r="A331" t="s">
        <v>365</v>
      </c>
      <c r="B331">
        <v>25</v>
      </c>
      <c r="C331" t="s">
        <v>4</v>
      </c>
      <c r="D331">
        <v>64.64</v>
      </c>
      <c r="E331">
        <v>0</v>
      </c>
      <c r="F331">
        <v>6.31</v>
      </c>
      <c r="G331">
        <v>38.47</v>
      </c>
      <c r="H331">
        <v>99.9</v>
      </c>
      <c r="I331">
        <v>19</v>
      </c>
      <c r="J331">
        <v>1</v>
      </c>
      <c r="K331">
        <f>(StudentData[[#This Row],[Midterm_Grade]]*40%)+(StudentData[[#This Row],[Final_Grade]]*60%)</f>
        <v>75.328000000000003</v>
      </c>
      <c r="L331">
        <f>StudentData[[#This Row],[Attendance_Percentage]]*40%+StudentData[[#This Row],[Assignments_Completed]]*2+StudentData[[#This Row],[Class_Participation]]*2+StudentData[[#This Row],[Projects_Submitted]]*4</f>
        <v>42.475999999999999</v>
      </c>
      <c r="M331">
        <f>StudentData[[#This Row],[Academic_Score]]*60%+StudentData[[#This Row],[Engagement_Score]]*30%+MIN(StudentData[[#This Row],[Study_Hours_per_Week]],20)/20*100*10%</f>
        <v>67.439599999999999</v>
      </c>
      <c r="N331" s="3" t="str" cm="1">
        <f t="array" ref="N331">_xlfn.IFS(StudentData[[#This Row],[Success_Score]]&gt;=85,"Exceptional",StudentData[[#This Row],[Success_Score]]&gt;=70,"Strong",StudentData[[#This Row],[Success_Score]]&gt;=55,"Developing",TRUE,"Needs Improvement")</f>
        <v>Developing</v>
      </c>
      <c r="O331" s="3" t="str">
        <f t="shared" si="10"/>
        <v>Medium Risk</v>
      </c>
      <c r="P331" s="3" t="str">
        <f t="shared" si="11"/>
        <v>24-25</v>
      </c>
    </row>
    <row r="332" spans="1:16">
      <c r="A332" t="s">
        <v>366</v>
      </c>
      <c r="B332">
        <v>18</v>
      </c>
      <c r="C332" t="s">
        <v>5</v>
      </c>
      <c r="D332">
        <v>99</v>
      </c>
      <c r="E332">
        <v>10</v>
      </c>
      <c r="F332">
        <v>2.2000000000000002</v>
      </c>
      <c r="G332">
        <v>43.6</v>
      </c>
      <c r="H332">
        <v>22.03</v>
      </c>
      <c r="I332">
        <v>17</v>
      </c>
      <c r="J332">
        <v>5</v>
      </c>
      <c r="K332">
        <f>(StudentData[[#This Row],[Midterm_Grade]]*40%)+(StudentData[[#This Row],[Final_Grade]]*60%)</f>
        <v>30.658000000000001</v>
      </c>
      <c r="L332">
        <f>StudentData[[#This Row],[Attendance_Percentage]]*40%+StudentData[[#This Row],[Assignments_Completed]]*2+StudentData[[#This Row],[Class_Participation]]*2+StudentData[[#This Row],[Projects_Submitted]]*4</f>
        <v>84</v>
      </c>
      <c r="M332">
        <f>StudentData[[#This Row],[Academic_Score]]*60%+StudentData[[#This Row],[Engagement_Score]]*30%+MIN(StudentData[[#This Row],[Study_Hours_per_Week]],20)/20*100*10%</f>
        <v>52.094799999999999</v>
      </c>
      <c r="N332" s="3" t="str" cm="1">
        <f t="array" ref="N33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32" s="3" t="str">
        <f t="shared" si="10"/>
        <v>Medium Risk</v>
      </c>
      <c r="P332" s="3" t="str">
        <f t="shared" si="11"/>
        <v>18-20</v>
      </c>
    </row>
    <row r="333" spans="1:16">
      <c r="A333" t="s">
        <v>367</v>
      </c>
      <c r="B333">
        <v>18</v>
      </c>
      <c r="C333" t="s">
        <v>4</v>
      </c>
      <c r="D333">
        <v>80.09</v>
      </c>
      <c r="E333">
        <v>9</v>
      </c>
      <c r="F333">
        <v>0.21</v>
      </c>
      <c r="G333">
        <v>59.4</v>
      </c>
      <c r="H333">
        <v>10.32</v>
      </c>
      <c r="I333">
        <v>12</v>
      </c>
      <c r="J333">
        <v>5</v>
      </c>
      <c r="K333">
        <f>(StudentData[[#This Row],[Midterm_Grade]]*40%)+(StudentData[[#This Row],[Final_Grade]]*60%)</f>
        <v>29.952000000000002</v>
      </c>
      <c r="L333">
        <f>StudentData[[#This Row],[Attendance_Percentage]]*40%+StudentData[[#This Row],[Assignments_Completed]]*2+StudentData[[#This Row],[Class_Participation]]*2+StudentData[[#This Row],[Projects_Submitted]]*4</f>
        <v>70.456000000000003</v>
      </c>
      <c r="M333">
        <f>StudentData[[#This Row],[Academic_Score]]*60%+StudentData[[#This Row],[Engagement_Score]]*30%+MIN(StudentData[[#This Row],[Study_Hours_per_Week]],20)/20*100*10%</f>
        <v>45.108000000000004</v>
      </c>
      <c r="N333" s="3" t="str" cm="1">
        <f t="array" ref="N33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33" s="3" t="str">
        <f t="shared" si="10"/>
        <v>Medium Risk</v>
      </c>
      <c r="P333" s="3" t="str">
        <f t="shared" si="11"/>
        <v>18-20</v>
      </c>
    </row>
    <row r="334" spans="1:16">
      <c r="A334" t="s">
        <v>368</v>
      </c>
      <c r="B334">
        <v>21</v>
      </c>
      <c r="C334" t="s">
        <v>5</v>
      </c>
      <c r="D334">
        <v>79.12</v>
      </c>
      <c r="E334">
        <v>6</v>
      </c>
      <c r="F334">
        <v>8.27</v>
      </c>
      <c r="G334">
        <v>58.97</v>
      </c>
      <c r="H334">
        <v>58.5</v>
      </c>
      <c r="I334">
        <v>11</v>
      </c>
      <c r="J334">
        <v>0</v>
      </c>
      <c r="K334">
        <f>(StudentData[[#This Row],[Midterm_Grade]]*40%)+(StudentData[[#This Row],[Final_Grade]]*60%)</f>
        <v>58.688000000000002</v>
      </c>
      <c r="L334">
        <f>StudentData[[#This Row],[Attendance_Percentage]]*40%+StudentData[[#This Row],[Assignments_Completed]]*2+StudentData[[#This Row],[Class_Participation]]*2+StudentData[[#This Row],[Projects_Submitted]]*4</f>
        <v>60.188000000000002</v>
      </c>
      <c r="M334">
        <f>StudentData[[#This Row],[Academic_Score]]*60%+StudentData[[#This Row],[Engagement_Score]]*30%+MIN(StudentData[[#This Row],[Study_Hours_per_Week]],20)/20*100*10%</f>
        <v>58.769199999999998</v>
      </c>
      <c r="N334" s="3" t="str" cm="1">
        <f t="array" ref="N334">_xlfn.IFS(StudentData[[#This Row],[Success_Score]]&gt;=85,"Exceptional",StudentData[[#This Row],[Success_Score]]&gt;=70,"Strong",StudentData[[#This Row],[Success_Score]]&gt;=55,"Developing",TRUE,"Needs Improvement")</f>
        <v>Developing</v>
      </c>
      <c r="O334" s="3" t="str">
        <f t="shared" si="10"/>
        <v>Medium Risk</v>
      </c>
      <c r="P334" s="3" t="str">
        <f t="shared" si="11"/>
        <v>21-23</v>
      </c>
    </row>
    <row r="335" spans="1:16">
      <c r="A335" t="s">
        <v>369</v>
      </c>
      <c r="B335">
        <v>20</v>
      </c>
      <c r="C335" t="s">
        <v>5</v>
      </c>
      <c r="D335">
        <v>87.4</v>
      </c>
      <c r="E335">
        <v>9</v>
      </c>
      <c r="F335">
        <v>3.66</v>
      </c>
      <c r="G335">
        <v>6.74</v>
      </c>
      <c r="H335">
        <v>48.85</v>
      </c>
      <c r="I335">
        <v>16</v>
      </c>
      <c r="J335">
        <v>0</v>
      </c>
      <c r="K335">
        <f>(StudentData[[#This Row],[Midterm_Grade]]*40%)+(StudentData[[#This Row],[Final_Grade]]*60%)</f>
        <v>32.006</v>
      </c>
      <c r="L335">
        <f>StudentData[[#This Row],[Attendance_Percentage]]*40%+StudentData[[#This Row],[Assignments_Completed]]*2+StudentData[[#This Row],[Class_Participation]]*2+StudentData[[#This Row],[Projects_Submitted]]*4</f>
        <v>60.28</v>
      </c>
      <c r="M335">
        <f>StudentData[[#This Row],[Academic_Score]]*60%+StudentData[[#This Row],[Engagement_Score]]*30%+MIN(StudentData[[#This Row],[Study_Hours_per_Week]],20)/20*100*10%</f>
        <v>45.287599999999998</v>
      </c>
      <c r="N335" s="3" t="str" cm="1">
        <f t="array" ref="N33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35" s="3" t="str">
        <f t="shared" si="10"/>
        <v>Medium Risk</v>
      </c>
      <c r="P335" s="3" t="str">
        <f t="shared" si="11"/>
        <v>18-20</v>
      </c>
    </row>
    <row r="336" spans="1:16">
      <c r="A336" t="s">
        <v>370</v>
      </c>
      <c r="B336">
        <v>23</v>
      </c>
      <c r="C336" t="s">
        <v>4</v>
      </c>
      <c r="D336">
        <v>90.59</v>
      </c>
      <c r="E336">
        <v>8</v>
      </c>
      <c r="F336">
        <v>3.54</v>
      </c>
      <c r="G336">
        <v>83.15</v>
      </c>
      <c r="H336">
        <v>52.42</v>
      </c>
      <c r="I336">
        <v>3</v>
      </c>
      <c r="J336">
        <v>2</v>
      </c>
      <c r="K336">
        <f>(StudentData[[#This Row],[Midterm_Grade]]*40%)+(StudentData[[#This Row],[Final_Grade]]*60%)</f>
        <v>64.712000000000003</v>
      </c>
      <c r="L336">
        <f>StudentData[[#This Row],[Attendance_Percentage]]*40%+StudentData[[#This Row],[Assignments_Completed]]*2+StudentData[[#This Row],[Class_Participation]]*2+StudentData[[#This Row],[Projects_Submitted]]*4</f>
        <v>67.316000000000003</v>
      </c>
      <c r="M336">
        <f>StudentData[[#This Row],[Academic_Score]]*60%+StudentData[[#This Row],[Engagement_Score]]*30%+MIN(StudentData[[#This Row],[Study_Hours_per_Week]],20)/20*100*10%</f>
        <v>60.521999999999998</v>
      </c>
      <c r="N336" s="3" t="str" cm="1">
        <f t="array" ref="N336">_xlfn.IFS(StudentData[[#This Row],[Success_Score]]&gt;=85,"Exceptional",StudentData[[#This Row],[Success_Score]]&gt;=70,"Strong",StudentData[[#This Row],[Success_Score]]&gt;=55,"Developing",TRUE,"Needs Improvement")</f>
        <v>Developing</v>
      </c>
      <c r="O336" s="3" t="str">
        <f t="shared" si="10"/>
        <v>Low Risk</v>
      </c>
      <c r="P336" s="3" t="str">
        <f t="shared" si="11"/>
        <v>21-23</v>
      </c>
    </row>
    <row r="337" spans="1:16">
      <c r="A337" t="s">
        <v>371</v>
      </c>
      <c r="B337">
        <v>25</v>
      </c>
      <c r="C337" t="s">
        <v>5</v>
      </c>
      <c r="D337">
        <v>82.82</v>
      </c>
      <c r="E337">
        <v>9</v>
      </c>
      <c r="F337">
        <v>3.02</v>
      </c>
      <c r="G337">
        <v>17.73</v>
      </c>
      <c r="H337">
        <v>66.69</v>
      </c>
      <c r="I337">
        <v>9</v>
      </c>
      <c r="J337">
        <v>5</v>
      </c>
      <c r="K337">
        <f>(StudentData[[#This Row],[Midterm_Grade]]*40%)+(StudentData[[#This Row],[Final_Grade]]*60%)</f>
        <v>47.105999999999995</v>
      </c>
      <c r="L337">
        <f>StudentData[[#This Row],[Attendance_Percentage]]*40%+StudentData[[#This Row],[Assignments_Completed]]*2+StudentData[[#This Row],[Class_Participation]]*2+StudentData[[#This Row],[Projects_Submitted]]*4</f>
        <v>77.168000000000006</v>
      </c>
      <c r="M337">
        <f>StudentData[[#This Row],[Academic_Score]]*60%+StudentData[[#This Row],[Engagement_Score]]*30%+MIN(StudentData[[#This Row],[Study_Hours_per_Week]],20)/20*100*10%</f>
        <v>55.914000000000001</v>
      </c>
      <c r="N337" s="3" t="str" cm="1">
        <f t="array" ref="N337">_xlfn.IFS(StudentData[[#This Row],[Success_Score]]&gt;=85,"Exceptional",StudentData[[#This Row],[Success_Score]]&gt;=70,"Strong",StudentData[[#This Row],[Success_Score]]&gt;=55,"Developing",TRUE,"Needs Improvement")</f>
        <v>Developing</v>
      </c>
      <c r="O337" s="3" t="str">
        <f t="shared" si="10"/>
        <v>Medium Risk</v>
      </c>
      <c r="P337" s="3" t="str">
        <f t="shared" si="11"/>
        <v>24-25</v>
      </c>
    </row>
    <row r="338" spans="1:16">
      <c r="A338" t="s">
        <v>372</v>
      </c>
      <c r="B338">
        <v>22</v>
      </c>
      <c r="C338" t="s">
        <v>6</v>
      </c>
      <c r="D338">
        <v>56.4</v>
      </c>
      <c r="E338">
        <v>8</v>
      </c>
      <c r="F338">
        <v>9.75</v>
      </c>
      <c r="G338">
        <v>72.31</v>
      </c>
      <c r="H338">
        <v>26.71</v>
      </c>
      <c r="I338">
        <v>10</v>
      </c>
      <c r="J338">
        <v>4</v>
      </c>
      <c r="K338">
        <f>(StudentData[[#This Row],[Midterm_Grade]]*40%)+(StudentData[[#This Row],[Final_Grade]]*60%)</f>
        <v>44.95</v>
      </c>
      <c r="L338">
        <f>StudentData[[#This Row],[Attendance_Percentage]]*40%+StudentData[[#This Row],[Assignments_Completed]]*2+StudentData[[#This Row],[Class_Participation]]*2+StudentData[[#This Row],[Projects_Submitted]]*4</f>
        <v>74.06</v>
      </c>
      <c r="M338">
        <f>StudentData[[#This Row],[Academic_Score]]*60%+StudentData[[#This Row],[Engagement_Score]]*30%+MIN(StudentData[[#This Row],[Study_Hours_per_Week]],20)/20*100*10%</f>
        <v>54.188000000000002</v>
      </c>
      <c r="N338" s="3" t="str" cm="1">
        <f t="array" ref="N33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38" s="3" t="str">
        <f t="shared" si="10"/>
        <v>High Risk</v>
      </c>
      <c r="P338" s="3" t="str">
        <f t="shared" si="11"/>
        <v>21-23</v>
      </c>
    </row>
    <row r="339" spans="1:16">
      <c r="A339" t="s">
        <v>373</v>
      </c>
      <c r="B339">
        <v>20</v>
      </c>
      <c r="C339" t="s">
        <v>5</v>
      </c>
      <c r="D339">
        <v>66.91</v>
      </c>
      <c r="E339">
        <v>9</v>
      </c>
      <c r="F339">
        <v>1.7</v>
      </c>
      <c r="G339">
        <v>77.27</v>
      </c>
      <c r="H339">
        <v>91.07</v>
      </c>
      <c r="I339">
        <v>5</v>
      </c>
      <c r="J339">
        <v>2</v>
      </c>
      <c r="K339">
        <f>(StudentData[[#This Row],[Midterm_Grade]]*40%)+(StudentData[[#This Row],[Final_Grade]]*60%)</f>
        <v>85.55</v>
      </c>
      <c r="L339">
        <f>StudentData[[#This Row],[Attendance_Percentage]]*40%+StudentData[[#This Row],[Assignments_Completed]]*2+StudentData[[#This Row],[Class_Participation]]*2+StudentData[[#This Row],[Projects_Submitted]]*4</f>
        <v>56.163999999999994</v>
      </c>
      <c r="M339">
        <f>StudentData[[#This Row],[Academic_Score]]*60%+StudentData[[#This Row],[Engagement_Score]]*30%+MIN(StudentData[[#This Row],[Study_Hours_per_Week]],20)/20*100*10%</f>
        <v>70.679199999999994</v>
      </c>
      <c r="N339" s="3" t="str" cm="1">
        <f t="array" ref="N339">_xlfn.IFS(StudentData[[#This Row],[Success_Score]]&gt;=85,"Exceptional",StudentData[[#This Row],[Success_Score]]&gt;=70,"Strong",StudentData[[#This Row],[Success_Score]]&gt;=55,"Developing",TRUE,"Needs Improvement")</f>
        <v>Strong</v>
      </c>
      <c r="O339" s="3" t="str">
        <f t="shared" si="10"/>
        <v>Medium Risk</v>
      </c>
      <c r="P339" s="3" t="str">
        <f t="shared" si="11"/>
        <v>18-20</v>
      </c>
    </row>
    <row r="340" spans="1:16">
      <c r="A340" t="s">
        <v>374</v>
      </c>
      <c r="B340">
        <v>21</v>
      </c>
      <c r="C340" t="s">
        <v>4</v>
      </c>
      <c r="D340">
        <v>96.4</v>
      </c>
      <c r="E340">
        <v>10</v>
      </c>
      <c r="F340">
        <v>8.98</v>
      </c>
      <c r="G340">
        <v>71.489999999999995</v>
      </c>
      <c r="H340">
        <v>43.57</v>
      </c>
      <c r="I340">
        <v>5</v>
      </c>
      <c r="J340">
        <v>3</v>
      </c>
      <c r="K340">
        <f>(StudentData[[#This Row],[Midterm_Grade]]*40%)+(StudentData[[#This Row],[Final_Grade]]*60%)</f>
        <v>54.738</v>
      </c>
      <c r="L340">
        <f>StudentData[[#This Row],[Attendance_Percentage]]*40%+StudentData[[#This Row],[Assignments_Completed]]*2+StudentData[[#This Row],[Class_Participation]]*2+StudentData[[#This Row],[Projects_Submitted]]*4</f>
        <v>88.52000000000001</v>
      </c>
      <c r="M340">
        <f>StudentData[[#This Row],[Academic_Score]]*60%+StudentData[[#This Row],[Engagement_Score]]*30%+MIN(StudentData[[#This Row],[Study_Hours_per_Week]],20)/20*100*10%</f>
        <v>61.898799999999994</v>
      </c>
      <c r="N340" s="3" t="str" cm="1">
        <f t="array" ref="N340">_xlfn.IFS(StudentData[[#This Row],[Success_Score]]&gt;=85,"Exceptional",StudentData[[#This Row],[Success_Score]]&gt;=70,"Strong",StudentData[[#This Row],[Success_Score]]&gt;=55,"Developing",TRUE,"Needs Improvement")</f>
        <v>Developing</v>
      </c>
      <c r="O340" s="3" t="str">
        <f t="shared" si="10"/>
        <v>Medium Risk</v>
      </c>
      <c r="P340" s="3" t="str">
        <f t="shared" si="11"/>
        <v>21-23</v>
      </c>
    </row>
    <row r="341" spans="1:16">
      <c r="A341" t="s">
        <v>375</v>
      </c>
      <c r="B341">
        <v>21</v>
      </c>
      <c r="C341" t="s">
        <v>4</v>
      </c>
      <c r="D341">
        <v>61.23</v>
      </c>
      <c r="E341">
        <v>2</v>
      </c>
      <c r="F341">
        <v>7.77</v>
      </c>
      <c r="G341">
        <v>57.9</v>
      </c>
      <c r="H341">
        <v>12.91</v>
      </c>
      <c r="I341">
        <v>8</v>
      </c>
      <c r="J341">
        <v>1</v>
      </c>
      <c r="K341">
        <f>(StudentData[[#This Row],[Midterm_Grade]]*40%)+(StudentData[[#This Row],[Final_Grade]]*60%)</f>
        <v>30.905999999999999</v>
      </c>
      <c r="L341">
        <f>StudentData[[#This Row],[Attendance_Percentage]]*40%+StudentData[[#This Row],[Assignments_Completed]]*2+StudentData[[#This Row],[Class_Participation]]*2+StudentData[[#This Row],[Projects_Submitted]]*4</f>
        <v>48.031999999999996</v>
      </c>
      <c r="M341">
        <f>StudentData[[#This Row],[Academic_Score]]*60%+StudentData[[#This Row],[Engagement_Score]]*30%+MIN(StudentData[[#This Row],[Study_Hours_per_Week]],20)/20*100*10%</f>
        <v>36.953199999999995</v>
      </c>
      <c r="N341" s="3" t="str" cm="1">
        <f t="array" ref="N34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41" s="3" t="str">
        <f t="shared" si="10"/>
        <v>Medium Risk</v>
      </c>
      <c r="P341" s="3" t="str">
        <f t="shared" si="11"/>
        <v>21-23</v>
      </c>
    </row>
    <row r="342" spans="1:16">
      <c r="A342" t="s">
        <v>376</v>
      </c>
      <c r="B342">
        <v>20</v>
      </c>
      <c r="C342" t="s">
        <v>5</v>
      </c>
      <c r="D342">
        <v>68.61</v>
      </c>
      <c r="E342">
        <v>10</v>
      </c>
      <c r="F342">
        <v>0.76</v>
      </c>
      <c r="G342">
        <v>1.46</v>
      </c>
      <c r="H342">
        <v>74.23</v>
      </c>
      <c r="I342">
        <v>14</v>
      </c>
      <c r="J342">
        <v>1</v>
      </c>
      <c r="K342">
        <f>(StudentData[[#This Row],[Midterm_Grade]]*40%)+(StudentData[[#This Row],[Final_Grade]]*60%)</f>
        <v>45.122000000000007</v>
      </c>
      <c r="L342">
        <f>StudentData[[#This Row],[Attendance_Percentage]]*40%+StudentData[[#This Row],[Assignments_Completed]]*2+StudentData[[#This Row],[Class_Participation]]*2+StudentData[[#This Row],[Projects_Submitted]]*4</f>
        <v>52.964000000000006</v>
      </c>
      <c r="M342">
        <f>StudentData[[#This Row],[Academic_Score]]*60%+StudentData[[#This Row],[Engagement_Score]]*30%+MIN(StudentData[[#This Row],[Study_Hours_per_Week]],20)/20*100*10%</f>
        <v>49.962400000000002</v>
      </c>
      <c r="N342" s="3" t="str" cm="1">
        <f t="array" ref="N34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42" s="3" t="str">
        <f t="shared" si="10"/>
        <v>Medium Risk</v>
      </c>
      <c r="P342" s="3" t="str">
        <f t="shared" si="11"/>
        <v>18-20</v>
      </c>
    </row>
    <row r="343" spans="1:16">
      <c r="A343" t="s">
        <v>377</v>
      </c>
      <c r="B343">
        <v>21</v>
      </c>
      <c r="C343" t="s">
        <v>4</v>
      </c>
      <c r="D343">
        <v>71.599999999999994</v>
      </c>
      <c r="E343">
        <v>4</v>
      </c>
      <c r="F343">
        <v>9.8699999999999992</v>
      </c>
      <c r="G343">
        <v>36.04</v>
      </c>
      <c r="H343">
        <v>64.31</v>
      </c>
      <c r="I343">
        <v>1</v>
      </c>
      <c r="J343">
        <v>0</v>
      </c>
      <c r="K343">
        <f>(StudentData[[#This Row],[Midterm_Grade]]*40%)+(StudentData[[#This Row],[Final_Grade]]*60%)</f>
        <v>53.001999999999995</v>
      </c>
      <c r="L343">
        <f>StudentData[[#This Row],[Attendance_Percentage]]*40%+StudentData[[#This Row],[Assignments_Completed]]*2+StudentData[[#This Row],[Class_Participation]]*2+StudentData[[#This Row],[Projects_Submitted]]*4</f>
        <v>56.379999999999995</v>
      </c>
      <c r="M343">
        <f>StudentData[[#This Row],[Academic_Score]]*60%+StudentData[[#This Row],[Engagement_Score]]*30%+MIN(StudentData[[#This Row],[Study_Hours_per_Week]],20)/20*100*10%</f>
        <v>49.215199999999996</v>
      </c>
      <c r="N343" s="3" t="str" cm="1">
        <f t="array" ref="N34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43" s="3" t="str">
        <f t="shared" si="10"/>
        <v>Medium Risk</v>
      </c>
      <c r="P343" s="3" t="str">
        <f t="shared" si="11"/>
        <v>21-23</v>
      </c>
    </row>
    <row r="344" spans="1:16">
      <c r="A344" t="s">
        <v>378</v>
      </c>
      <c r="B344">
        <v>20</v>
      </c>
      <c r="C344" t="s">
        <v>5</v>
      </c>
      <c r="D344">
        <v>71.97</v>
      </c>
      <c r="E344">
        <v>7</v>
      </c>
      <c r="F344">
        <v>2.71</v>
      </c>
      <c r="G344">
        <v>60.48</v>
      </c>
      <c r="H344">
        <v>31.57</v>
      </c>
      <c r="I344">
        <v>3</v>
      </c>
      <c r="J344">
        <v>4</v>
      </c>
      <c r="K344">
        <f>(StudentData[[#This Row],[Midterm_Grade]]*40%)+(StudentData[[#This Row],[Final_Grade]]*60%)</f>
        <v>43.134</v>
      </c>
      <c r="L344">
        <f>StudentData[[#This Row],[Attendance_Percentage]]*40%+StudentData[[#This Row],[Assignments_Completed]]*2+StudentData[[#This Row],[Class_Participation]]*2+StudentData[[#This Row],[Projects_Submitted]]*4</f>
        <v>64.207999999999998</v>
      </c>
      <c r="M344">
        <f>StudentData[[#This Row],[Academic_Score]]*60%+StudentData[[#This Row],[Engagement_Score]]*30%+MIN(StudentData[[#This Row],[Study_Hours_per_Week]],20)/20*100*10%</f>
        <v>46.642799999999994</v>
      </c>
      <c r="N344" s="3" t="str" cm="1">
        <f t="array" ref="N34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44" s="3" t="str">
        <f t="shared" si="10"/>
        <v>Medium Risk</v>
      </c>
      <c r="P344" s="3" t="str">
        <f t="shared" si="11"/>
        <v>18-20</v>
      </c>
    </row>
    <row r="345" spans="1:16">
      <c r="A345" t="s">
        <v>379</v>
      </c>
      <c r="B345">
        <v>19</v>
      </c>
      <c r="C345" t="s">
        <v>6</v>
      </c>
      <c r="D345">
        <v>80.650000000000006</v>
      </c>
      <c r="E345">
        <v>7</v>
      </c>
      <c r="F345">
        <v>0.99</v>
      </c>
      <c r="G345">
        <v>38.75</v>
      </c>
      <c r="H345">
        <v>62.15</v>
      </c>
      <c r="I345">
        <v>4</v>
      </c>
      <c r="J345">
        <v>5</v>
      </c>
      <c r="K345">
        <f>(StudentData[[#This Row],[Midterm_Grade]]*40%)+(StudentData[[#This Row],[Final_Grade]]*60%)</f>
        <v>52.79</v>
      </c>
      <c r="L345">
        <f>StudentData[[#This Row],[Attendance_Percentage]]*40%+StudentData[[#This Row],[Assignments_Completed]]*2+StudentData[[#This Row],[Class_Participation]]*2+StudentData[[#This Row],[Projects_Submitted]]*4</f>
        <v>68.240000000000009</v>
      </c>
      <c r="M345">
        <f>StudentData[[#This Row],[Academic_Score]]*60%+StudentData[[#This Row],[Engagement_Score]]*30%+MIN(StudentData[[#This Row],[Study_Hours_per_Week]],20)/20*100*10%</f>
        <v>54.146000000000001</v>
      </c>
      <c r="N345" s="3" t="str" cm="1">
        <f t="array" ref="N34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45" s="3" t="str">
        <f t="shared" si="10"/>
        <v>Medium Risk</v>
      </c>
      <c r="P345" s="3" t="str">
        <f t="shared" si="11"/>
        <v>18-20</v>
      </c>
    </row>
    <row r="346" spans="1:16">
      <c r="A346" t="s">
        <v>380</v>
      </c>
      <c r="B346">
        <v>20</v>
      </c>
      <c r="C346" t="s">
        <v>5</v>
      </c>
      <c r="D346">
        <v>97.15</v>
      </c>
      <c r="E346">
        <v>3</v>
      </c>
      <c r="F346">
        <v>8.2899999999999991</v>
      </c>
      <c r="G346">
        <v>86.35</v>
      </c>
      <c r="H346">
        <v>21.99</v>
      </c>
      <c r="I346">
        <v>16</v>
      </c>
      <c r="J346">
        <v>5</v>
      </c>
      <c r="K346">
        <f>(StudentData[[#This Row],[Midterm_Grade]]*40%)+(StudentData[[#This Row],[Final_Grade]]*60%)</f>
        <v>47.733999999999995</v>
      </c>
      <c r="L346">
        <f>StudentData[[#This Row],[Attendance_Percentage]]*40%+StudentData[[#This Row],[Assignments_Completed]]*2+StudentData[[#This Row],[Class_Participation]]*2+StudentData[[#This Row],[Projects_Submitted]]*4</f>
        <v>81.44</v>
      </c>
      <c r="M346">
        <f>StudentData[[#This Row],[Academic_Score]]*60%+StudentData[[#This Row],[Engagement_Score]]*30%+MIN(StudentData[[#This Row],[Study_Hours_per_Week]],20)/20*100*10%</f>
        <v>61.072399999999995</v>
      </c>
      <c r="N346" s="3" t="str" cm="1">
        <f t="array" ref="N346">_xlfn.IFS(StudentData[[#This Row],[Success_Score]]&gt;=85,"Exceptional",StudentData[[#This Row],[Success_Score]]&gt;=70,"Strong",StudentData[[#This Row],[Success_Score]]&gt;=55,"Developing",TRUE,"Needs Improvement")</f>
        <v>Developing</v>
      </c>
      <c r="O346" s="3" t="str">
        <f t="shared" si="10"/>
        <v>Medium Risk</v>
      </c>
      <c r="P346" s="3" t="str">
        <f t="shared" si="11"/>
        <v>18-20</v>
      </c>
    </row>
    <row r="347" spans="1:16">
      <c r="A347" t="s">
        <v>381</v>
      </c>
      <c r="B347">
        <v>24</v>
      </c>
      <c r="C347" t="s">
        <v>5</v>
      </c>
      <c r="D347">
        <v>62.03</v>
      </c>
      <c r="E347">
        <v>10</v>
      </c>
      <c r="F347">
        <v>7.07</v>
      </c>
      <c r="G347">
        <v>30.88</v>
      </c>
      <c r="H347">
        <v>44.48</v>
      </c>
      <c r="I347">
        <v>7</v>
      </c>
      <c r="J347">
        <v>0</v>
      </c>
      <c r="K347">
        <f>(StudentData[[#This Row],[Midterm_Grade]]*40%)+(StudentData[[#This Row],[Final_Grade]]*60%)</f>
        <v>39.04</v>
      </c>
      <c r="L347">
        <f>StudentData[[#This Row],[Attendance_Percentage]]*40%+StudentData[[#This Row],[Assignments_Completed]]*2+StudentData[[#This Row],[Class_Participation]]*2+StudentData[[#This Row],[Projects_Submitted]]*4</f>
        <v>58.951999999999998</v>
      </c>
      <c r="M347">
        <f>StudentData[[#This Row],[Academic_Score]]*60%+StudentData[[#This Row],[Engagement_Score]]*30%+MIN(StudentData[[#This Row],[Study_Hours_per_Week]],20)/20*100*10%</f>
        <v>44.6096</v>
      </c>
      <c r="N347" s="3" t="str" cm="1">
        <f t="array" ref="N34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47" s="3" t="str">
        <f t="shared" si="10"/>
        <v>Medium Risk</v>
      </c>
      <c r="P347" s="3" t="str">
        <f t="shared" si="11"/>
        <v>24-25</v>
      </c>
    </row>
    <row r="348" spans="1:16">
      <c r="A348" t="s">
        <v>382</v>
      </c>
      <c r="B348">
        <v>20</v>
      </c>
      <c r="C348" t="s">
        <v>5</v>
      </c>
      <c r="D348">
        <v>56.08</v>
      </c>
      <c r="E348">
        <v>10</v>
      </c>
      <c r="F348">
        <v>6.17</v>
      </c>
      <c r="G348">
        <v>29.35</v>
      </c>
      <c r="H348">
        <v>89.94</v>
      </c>
      <c r="I348">
        <v>7</v>
      </c>
      <c r="J348">
        <v>3</v>
      </c>
      <c r="K348">
        <f>(StudentData[[#This Row],[Midterm_Grade]]*40%)+(StudentData[[#This Row],[Final_Grade]]*60%)</f>
        <v>65.704000000000008</v>
      </c>
      <c r="L348">
        <f>StudentData[[#This Row],[Attendance_Percentage]]*40%+StudentData[[#This Row],[Assignments_Completed]]*2+StudentData[[#This Row],[Class_Participation]]*2+StudentData[[#This Row],[Projects_Submitted]]*4</f>
        <v>66.772000000000006</v>
      </c>
      <c r="M348">
        <f>StudentData[[#This Row],[Academic_Score]]*60%+StudentData[[#This Row],[Engagement_Score]]*30%+MIN(StudentData[[#This Row],[Study_Hours_per_Week]],20)/20*100*10%</f>
        <v>62.954000000000008</v>
      </c>
      <c r="N348" s="3" t="str" cm="1">
        <f t="array" ref="N348">_xlfn.IFS(StudentData[[#This Row],[Success_Score]]&gt;=85,"Exceptional",StudentData[[#This Row],[Success_Score]]&gt;=70,"Strong",StudentData[[#This Row],[Success_Score]]&gt;=55,"Developing",TRUE,"Needs Improvement")</f>
        <v>Developing</v>
      </c>
      <c r="O348" s="3" t="str">
        <f t="shared" si="10"/>
        <v>Medium Risk</v>
      </c>
      <c r="P348" s="3" t="str">
        <f t="shared" si="11"/>
        <v>18-20</v>
      </c>
    </row>
    <row r="349" spans="1:16">
      <c r="A349" t="s">
        <v>383</v>
      </c>
      <c r="B349">
        <v>21</v>
      </c>
      <c r="C349" t="s">
        <v>6</v>
      </c>
      <c r="D349">
        <v>59.87</v>
      </c>
      <c r="E349">
        <v>0</v>
      </c>
      <c r="F349">
        <v>1.56</v>
      </c>
      <c r="G349">
        <v>26.6</v>
      </c>
      <c r="H349">
        <v>13.35</v>
      </c>
      <c r="I349">
        <v>11</v>
      </c>
      <c r="J349">
        <v>2</v>
      </c>
      <c r="K349">
        <f>(StudentData[[#This Row],[Midterm_Grade]]*40%)+(StudentData[[#This Row],[Final_Grade]]*60%)</f>
        <v>18.649999999999999</v>
      </c>
      <c r="L349">
        <f>StudentData[[#This Row],[Attendance_Percentage]]*40%+StudentData[[#This Row],[Assignments_Completed]]*2+StudentData[[#This Row],[Class_Participation]]*2+StudentData[[#This Row],[Projects_Submitted]]*4</f>
        <v>35.067999999999998</v>
      </c>
      <c r="M349">
        <f>StudentData[[#This Row],[Academic_Score]]*60%+StudentData[[#This Row],[Engagement_Score]]*30%+MIN(StudentData[[#This Row],[Study_Hours_per_Week]],20)/20*100*10%</f>
        <v>27.2104</v>
      </c>
      <c r="N349" s="3" t="str" cm="1">
        <f t="array" ref="N34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49" s="3" t="str">
        <f t="shared" si="10"/>
        <v>High Risk</v>
      </c>
      <c r="P349" s="3" t="str">
        <f t="shared" si="11"/>
        <v>21-23</v>
      </c>
    </row>
    <row r="350" spans="1:16">
      <c r="A350" t="s">
        <v>384</v>
      </c>
      <c r="B350">
        <v>25</v>
      </c>
      <c r="C350" t="s">
        <v>4</v>
      </c>
      <c r="D350">
        <v>94.35</v>
      </c>
      <c r="E350">
        <v>0</v>
      </c>
      <c r="F350">
        <v>4.78</v>
      </c>
      <c r="G350">
        <v>33.28</v>
      </c>
      <c r="H350">
        <v>38.67</v>
      </c>
      <c r="I350">
        <v>7</v>
      </c>
      <c r="J350">
        <v>2</v>
      </c>
      <c r="K350">
        <f>(StudentData[[#This Row],[Midterm_Grade]]*40%)+(StudentData[[#This Row],[Final_Grade]]*60%)</f>
        <v>36.514000000000003</v>
      </c>
      <c r="L350">
        <f>StudentData[[#This Row],[Attendance_Percentage]]*40%+StudentData[[#This Row],[Assignments_Completed]]*2+StudentData[[#This Row],[Class_Participation]]*2+StudentData[[#This Row],[Projects_Submitted]]*4</f>
        <v>55.300000000000004</v>
      </c>
      <c r="M350">
        <f>StudentData[[#This Row],[Academic_Score]]*60%+StudentData[[#This Row],[Engagement_Score]]*30%+MIN(StudentData[[#This Row],[Study_Hours_per_Week]],20)/20*100*10%</f>
        <v>41.998400000000004</v>
      </c>
      <c r="N350" s="3" t="str" cm="1">
        <f t="array" ref="N35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50" s="3" t="str">
        <f t="shared" si="10"/>
        <v>Medium Risk</v>
      </c>
      <c r="P350" s="3" t="str">
        <f t="shared" si="11"/>
        <v>24-25</v>
      </c>
    </row>
    <row r="351" spans="1:16">
      <c r="A351" t="s">
        <v>385</v>
      </c>
      <c r="B351">
        <v>24</v>
      </c>
      <c r="C351" t="s">
        <v>4</v>
      </c>
      <c r="D351">
        <v>82.29</v>
      </c>
      <c r="E351">
        <v>3</v>
      </c>
      <c r="F351">
        <v>7.81</v>
      </c>
      <c r="G351">
        <v>55.74</v>
      </c>
      <c r="H351">
        <v>82.11</v>
      </c>
      <c r="I351">
        <v>18</v>
      </c>
      <c r="J351">
        <v>4</v>
      </c>
      <c r="K351">
        <f>(StudentData[[#This Row],[Midterm_Grade]]*40%)+(StudentData[[#This Row],[Final_Grade]]*60%)</f>
        <v>71.561999999999998</v>
      </c>
      <c r="L351">
        <f>StudentData[[#This Row],[Attendance_Percentage]]*40%+StudentData[[#This Row],[Assignments_Completed]]*2+StudentData[[#This Row],[Class_Participation]]*2+StudentData[[#This Row],[Projects_Submitted]]*4</f>
        <v>70.536000000000001</v>
      </c>
      <c r="M351">
        <f>StudentData[[#This Row],[Academic_Score]]*60%+StudentData[[#This Row],[Engagement_Score]]*30%+MIN(StudentData[[#This Row],[Study_Hours_per_Week]],20)/20*100*10%</f>
        <v>73.097999999999999</v>
      </c>
      <c r="N351" s="3" t="str" cm="1">
        <f t="array" ref="N351">_xlfn.IFS(StudentData[[#This Row],[Success_Score]]&gt;=85,"Exceptional",StudentData[[#This Row],[Success_Score]]&gt;=70,"Strong",StudentData[[#This Row],[Success_Score]]&gt;=55,"Developing",TRUE,"Needs Improvement")</f>
        <v>Strong</v>
      </c>
      <c r="O351" s="3" t="str">
        <f t="shared" si="10"/>
        <v>Low Risk</v>
      </c>
      <c r="P351" s="3" t="str">
        <f t="shared" si="11"/>
        <v>24-25</v>
      </c>
    </row>
    <row r="352" spans="1:16">
      <c r="A352" t="s">
        <v>386</v>
      </c>
      <c r="B352">
        <v>21</v>
      </c>
      <c r="C352" t="s">
        <v>5</v>
      </c>
      <c r="D352">
        <v>64.3</v>
      </c>
      <c r="E352">
        <v>5</v>
      </c>
      <c r="F352">
        <v>3.04</v>
      </c>
      <c r="G352">
        <v>70.7</v>
      </c>
      <c r="H352">
        <v>96.95</v>
      </c>
      <c r="I352">
        <v>2</v>
      </c>
      <c r="J352">
        <v>0</v>
      </c>
      <c r="K352">
        <f>(StudentData[[#This Row],[Midterm_Grade]]*40%)+(StudentData[[#This Row],[Final_Grade]]*60%)</f>
        <v>86.45</v>
      </c>
      <c r="L352">
        <f>StudentData[[#This Row],[Attendance_Percentage]]*40%+StudentData[[#This Row],[Assignments_Completed]]*2+StudentData[[#This Row],[Class_Participation]]*2+StudentData[[#This Row],[Projects_Submitted]]*4</f>
        <v>41.8</v>
      </c>
      <c r="M352">
        <f>StudentData[[#This Row],[Academic_Score]]*60%+StudentData[[#This Row],[Engagement_Score]]*30%+MIN(StudentData[[#This Row],[Study_Hours_per_Week]],20)/20*100*10%</f>
        <v>65.41</v>
      </c>
      <c r="N352" s="3" t="str" cm="1">
        <f t="array" ref="N352">_xlfn.IFS(StudentData[[#This Row],[Success_Score]]&gt;=85,"Exceptional",StudentData[[#This Row],[Success_Score]]&gt;=70,"Strong",StudentData[[#This Row],[Success_Score]]&gt;=55,"Developing",TRUE,"Needs Improvement")</f>
        <v>Developing</v>
      </c>
      <c r="O352" s="3" t="str">
        <f t="shared" si="10"/>
        <v>Medium Risk</v>
      </c>
      <c r="P352" s="3" t="str">
        <f t="shared" si="11"/>
        <v>21-23</v>
      </c>
    </row>
    <row r="353" spans="1:16">
      <c r="A353" t="s">
        <v>387</v>
      </c>
      <c r="B353">
        <v>18</v>
      </c>
      <c r="C353" t="s">
        <v>4</v>
      </c>
      <c r="D353">
        <v>90.8</v>
      </c>
      <c r="E353">
        <v>7</v>
      </c>
      <c r="F353">
        <v>3.12</v>
      </c>
      <c r="G353">
        <v>66.260000000000005</v>
      </c>
      <c r="H353">
        <v>45.39</v>
      </c>
      <c r="I353">
        <v>17</v>
      </c>
      <c r="J353">
        <v>0</v>
      </c>
      <c r="K353">
        <f>(StudentData[[#This Row],[Midterm_Grade]]*40%)+(StudentData[[#This Row],[Final_Grade]]*60%)</f>
        <v>53.738</v>
      </c>
      <c r="L353">
        <f>StudentData[[#This Row],[Attendance_Percentage]]*40%+StudentData[[#This Row],[Assignments_Completed]]*2+StudentData[[#This Row],[Class_Participation]]*2+StudentData[[#This Row],[Projects_Submitted]]*4</f>
        <v>56.56</v>
      </c>
      <c r="M353">
        <f>StudentData[[#This Row],[Academic_Score]]*60%+StudentData[[#This Row],[Engagement_Score]]*30%+MIN(StudentData[[#This Row],[Study_Hours_per_Week]],20)/20*100*10%</f>
        <v>57.710799999999992</v>
      </c>
      <c r="N353" s="3" t="str" cm="1">
        <f t="array" ref="N353">_xlfn.IFS(StudentData[[#This Row],[Success_Score]]&gt;=85,"Exceptional",StudentData[[#This Row],[Success_Score]]&gt;=70,"Strong",StudentData[[#This Row],[Success_Score]]&gt;=55,"Developing",TRUE,"Needs Improvement")</f>
        <v>Developing</v>
      </c>
      <c r="O353" s="3" t="str">
        <f t="shared" si="10"/>
        <v>Medium Risk</v>
      </c>
      <c r="P353" s="3" t="str">
        <f t="shared" si="11"/>
        <v>18-20</v>
      </c>
    </row>
    <row r="354" spans="1:16">
      <c r="A354" t="s">
        <v>388</v>
      </c>
      <c r="B354">
        <v>18</v>
      </c>
      <c r="C354" t="s">
        <v>5</v>
      </c>
      <c r="D354">
        <v>93.07</v>
      </c>
      <c r="E354">
        <v>5</v>
      </c>
      <c r="F354">
        <v>0.03</v>
      </c>
      <c r="G354">
        <v>80.77</v>
      </c>
      <c r="H354">
        <v>50.7</v>
      </c>
      <c r="I354">
        <v>18</v>
      </c>
      <c r="J354">
        <v>3</v>
      </c>
      <c r="K354">
        <f>(StudentData[[#This Row],[Midterm_Grade]]*40%)+(StudentData[[#This Row],[Final_Grade]]*60%)</f>
        <v>62.728000000000002</v>
      </c>
      <c r="L354">
        <f>StudentData[[#This Row],[Attendance_Percentage]]*40%+StudentData[[#This Row],[Assignments_Completed]]*2+StudentData[[#This Row],[Class_Participation]]*2+StudentData[[#This Row],[Projects_Submitted]]*4</f>
        <v>59.288000000000004</v>
      </c>
      <c r="M354">
        <f>StudentData[[#This Row],[Academic_Score]]*60%+StudentData[[#This Row],[Engagement_Score]]*30%+MIN(StudentData[[#This Row],[Study_Hours_per_Week]],20)/20*100*10%</f>
        <v>64.423200000000008</v>
      </c>
      <c r="N354" s="3" t="str" cm="1">
        <f t="array" ref="N354">_xlfn.IFS(StudentData[[#This Row],[Success_Score]]&gt;=85,"Exceptional",StudentData[[#This Row],[Success_Score]]&gt;=70,"Strong",StudentData[[#This Row],[Success_Score]]&gt;=55,"Developing",TRUE,"Needs Improvement")</f>
        <v>Developing</v>
      </c>
      <c r="O354" s="3" t="str">
        <f t="shared" si="10"/>
        <v>Low Risk</v>
      </c>
      <c r="P354" s="3" t="str">
        <f t="shared" si="11"/>
        <v>18-20</v>
      </c>
    </row>
    <row r="355" spans="1:16">
      <c r="A355" t="s">
        <v>389</v>
      </c>
      <c r="B355">
        <v>25</v>
      </c>
      <c r="C355" t="s">
        <v>4</v>
      </c>
      <c r="D355">
        <v>92.33</v>
      </c>
      <c r="E355">
        <v>8</v>
      </c>
      <c r="F355">
        <v>1.74</v>
      </c>
      <c r="G355">
        <v>88.59</v>
      </c>
      <c r="H355">
        <v>57.22</v>
      </c>
      <c r="I355">
        <v>18</v>
      </c>
      <c r="J355">
        <v>2</v>
      </c>
      <c r="K355">
        <f>(StudentData[[#This Row],[Midterm_Grade]]*40%)+(StudentData[[#This Row],[Final_Grade]]*60%)</f>
        <v>69.768000000000001</v>
      </c>
      <c r="L355">
        <f>StudentData[[#This Row],[Attendance_Percentage]]*40%+StudentData[[#This Row],[Assignments_Completed]]*2+StudentData[[#This Row],[Class_Participation]]*2+StudentData[[#This Row],[Projects_Submitted]]*4</f>
        <v>64.412000000000006</v>
      </c>
      <c r="M355">
        <f>StudentData[[#This Row],[Academic_Score]]*60%+StudentData[[#This Row],[Engagement_Score]]*30%+MIN(StudentData[[#This Row],[Study_Hours_per_Week]],20)/20*100*10%</f>
        <v>70.184399999999997</v>
      </c>
      <c r="N355" s="3" t="str" cm="1">
        <f t="array" ref="N355">_xlfn.IFS(StudentData[[#This Row],[Success_Score]]&gt;=85,"Exceptional",StudentData[[#This Row],[Success_Score]]&gt;=70,"Strong",StudentData[[#This Row],[Success_Score]]&gt;=55,"Developing",TRUE,"Needs Improvement")</f>
        <v>Strong</v>
      </c>
      <c r="O355" s="3" t="str">
        <f t="shared" si="10"/>
        <v>Low Risk</v>
      </c>
      <c r="P355" s="3" t="str">
        <f t="shared" si="11"/>
        <v>24-25</v>
      </c>
    </row>
    <row r="356" spans="1:16">
      <c r="A356" t="s">
        <v>390</v>
      </c>
      <c r="B356">
        <v>25</v>
      </c>
      <c r="C356" t="s">
        <v>5</v>
      </c>
      <c r="D356">
        <v>95.95</v>
      </c>
      <c r="E356">
        <v>8</v>
      </c>
      <c r="F356">
        <v>8.75</v>
      </c>
      <c r="G356">
        <v>81.61</v>
      </c>
      <c r="H356">
        <v>93.23</v>
      </c>
      <c r="I356">
        <v>14</v>
      </c>
      <c r="J356">
        <v>0</v>
      </c>
      <c r="K356">
        <f>(StudentData[[#This Row],[Midterm_Grade]]*40%)+(StudentData[[#This Row],[Final_Grade]]*60%)</f>
        <v>88.581999999999994</v>
      </c>
      <c r="L356">
        <f>StudentData[[#This Row],[Attendance_Percentage]]*40%+StudentData[[#This Row],[Assignments_Completed]]*2+StudentData[[#This Row],[Class_Participation]]*2+StudentData[[#This Row],[Projects_Submitted]]*4</f>
        <v>71.88</v>
      </c>
      <c r="M356">
        <f>StudentData[[#This Row],[Academic_Score]]*60%+StudentData[[#This Row],[Engagement_Score]]*30%+MIN(StudentData[[#This Row],[Study_Hours_per_Week]],20)/20*100*10%</f>
        <v>81.713199999999986</v>
      </c>
      <c r="N356" s="3" t="str" cm="1">
        <f t="array" ref="N356">_xlfn.IFS(StudentData[[#This Row],[Success_Score]]&gt;=85,"Exceptional",StudentData[[#This Row],[Success_Score]]&gt;=70,"Strong",StudentData[[#This Row],[Success_Score]]&gt;=55,"Developing",TRUE,"Needs Improvement")</f>
        <v>Strong</v>
      </c>
      <c r="O356" s="3" t="str">
        <f t="shared" si="10"/>
        <v>Low Risk</v>
      </c>
      <c r="P356" s="3" t="str">
        <f t="shared" si="11"/>
        <v>24-25</v>
      </c>
    </row>
    <row r="357" spans="1:16">
      <c r="A357" t="s">
        <v>391</v>
      </c>
      <c r="B357">
        <v>24</v>
      </c>
      <c r="C357" t="s">
        <v>5</v>
      </c>
      <c r="D357">
        <v>62.61</v>
      </c>
      <c r="E357">
        <v>1</v>
      </c>
      <c r="F357">
        <v>4.42</v>
      </c>
      <c r="G357">
        <v>1.89</v>
      </c>
      <c r="H357">
        <v>85.82</v>
      </c>
      <c r="I357">
        <v>5</v>
      </c>
      <c r="J357">
        <v>5</v>
      </c>
      <c r="K357">
        <f>(StudentData[[#This Row],[Midterm_Grade]]*40%)+(StudentData[[#This Row],[Final_Grade]]*60%)</f>
        <v>52.247999999999998</v>
      </c>
      <c r="L357">
        <f>StudentData[[#This Row],[Attendance_Percentage]]*40%+StudentData[[#This Row],[Assignments_Completed]]*2+StudentData[[#This Row],[Class_Participation]]*2+StudentData[[#This Row],[Projects_Submitted]]*4</f>
        <v>55.884</v>
      </c>
      <c r="M357">
        <f>StudentData[[#This Row],[Academic_Score]]*60%+StudentData[[#This Row],[Engagement_Score]]*30%+MIN(StudentData[[#This Row],[Study_Hours_per_Week]],20)/20*100*10%</f>
        <v>50.613999999999997</v>
      </c>
      <c r="N357" s="3" t="str" cm="1">
        <f t="array" ref="N35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57" s="3" t="str">
        <f t="shared" si="10"/>
        <v>Medium Risk</v>
      </c>
      <c r="P357" s="3" t="str">
        <f t="shared" si="11"/>
        <v>24-25</v>
      </c>
    </row>
    <row r="358" spans="1:16">
      <c r="A358" t="s">
        <v>392</v>
      </c>
      <c r="B358">
        <v>19</v>
      </c>
      <c r="C358" t="s">
        <v>5</v>
      </c>
      <c r="D358">
        <v>87.75</v>
      </c>
      <c r="E358">
        <v>9</v>
      </c>
      <c r="F358">
        <v>9.84</v>
      </c>
      <c r="G358">
        <v>73.59</v>
      </c>
      <c r="H358">
        <v>17.059999999999999</v>
      </c>
      <c r="I358">
        <v>15</v>
      </c>
      <c r="J358">
        <v>4</v>
      </c>
      <c r="K358">
        <f>(StudentData[[#This Row],[Midterm_Grade]]*40%)+(StudentData[[#This Row],[Final_Grade]]*60%)</f>
        <v>39.672000000000004</v>
      </c>
      <c r="L358">
        <f>StudentData[[#This Row],[Attendance_Percentage]]*40%+StudentData[[#This Row],[Assignments_Completed]]*2+StudentData[[#This Row],[Class_Participation]]*2+StudentData[[#This Row],[Projects_Submitted]]*4</f>
        <v>88.78</v>
      </c>
      <c r="M358">
        <f>StudentData[[#This Row],[Academic_Score]]*60%+StudentData[[#This Row],[Engagement_Score]]*30%+MIN(StudentData[[#This Row],[Study_Hours_per_Week]],20)/20*100*10%</f>
        <v>57.937200000000004</v>
      </c>
      <c r="N358" s="3" t="str" cm="1">
        <f t="array" ref="N358">_xlfn.IFS(StudentData[[#This Row],[Success_Score]]&gt;=85,"Exceptional",StudentData[[#This Row],[Success_Score]]&gt;=70,"Strong",StudentData[[#This Row],[Success_Score]]&gt;=55,"Developing",TRUE,"Needs Improvement")</f>
        <v>Developing</v>
      </c>
      <c r="O358" s="3" t="str">
        <f t="shared" si="10"/>
        <v>Medium Risk</v>
      </c>
      <c r="P358" s="3" t="str">
        <f t="shared" si="11"/>
        <v>18-20</v>
      </c>
    </row>
    <row r="359" spans="1:16">
      <c r="A359" t="s">
        <v>393</v>
      </c>
      <c r="B359">
        <v>25</v>
      </c>
      <c r="C359" t="s">
        <v>4</v>
      </c>
      <c r="D359">
        <v>73.03</v>
      </c>
      <c r="E359">
        <v>0</v>
      </c>
      <c r="F359">
        <v>3.96</v>
      </c>
      <c r="G359">
        <v>20.84</v>
      </c>
      <c r="H359">
        <v>43.68</v>
      </c>
      <c r="I359">
        <v>7</v>
      </c>
      <c r="J359">
        <v>2</v>
      </c>
      <c r="K359">
        <f>(StudentData[[#This Row],[Midterm_Grade]]*40%)+(StudentData[[#This Row],[Final_Grade]]*60%)</f>
        <v>34.543999999999997</v>
      </c>
      <c r="L359">
        <f>StudentData[[#This Row],[Attendance_Percentage]]*40%+StudentData[[#This Row],[Assignments_Completed]]*2+StudentData[[#This Row],[Class_Participation]]*2+StudentData[[#This Row],[Projects_Submitted]]*4</f>
        <v>45.132000000000005</v>
      </c>
      <c r="M359">
        <f>StudentData[[#This Row],[Academic_Score]]*60%+StudentData[[#This Row],[Engagement_Score]]*30%+MIN(StudentData[[#This Row],[Study_Hours_per_Week]],20)/20*100*10%</f>
        <v>37.765999999999998</v>
      </c>
      <c r="N359" s="3" t="str" cm="1">
        <f t="array" ref="N35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59" s="3" t="str">
        <f t="shared" si="10"/>
        <v>Medium Risk</v>
      </c>
      <c r="P359" s="3" t="str">
        <f t="shared" si="11"/>
        <v>24-25</v>
      </c>
    </row>
    <row r="360" spans="1:16">
      <c r="A360" t="s">
        <v>394</v>
      </c>
      <c r="B360">
        <v>18</v>
      </c>
      <c r="C360" t="s">
        <v>4</v>
      </c>
      <c r="D360">
        <v>92.1</v>
      </c>
      <c r="E360">
        <v>1</v>
      </c>
      <c r="F360">
        <v>7.15</v>
      </c>
      <c r="G360">
        <v>13.29</v>
      </c>
      <c r="H360">
        <v>46.4</v>
      </c>
      <c r="I360">
        <v>15</v>
      </c>
      <c r="J360">
        <v>3</v>
      </c>
      <c r="K360">
        <f>(StudentData[[#This Row],[Midterm_Grade]]*40%)+(StudentData[[#This Row],[Final_Grade]]*60%)</f>
        <v>33.155999999999999</v>
      </c>
      <c r="L360">
        <f>StudentData[[#This Row],[Attendance_Percentage]]*40%+StudentData[[#This Row],[Assignments_Completed]]*2+StudentData[[#This Row],[Class_Participation]]*2+StudentData[[#This Row],[Projects_Submitted]]*4</f>
        <v>65.14</v>
      </c>
      <c r="M360">
        <f>StudentData[[#This Row],[Academic_Score]]*60%+StudentData[[#This Row],[Engagement_Score]]*30%+MIN(StudentData[[#This Row],[Study_Hours_per_Week]],20)/20*100*10%</f>
        <v>46.935599999999994</v>
      </c>
      <c r="N360" s="3" t="str" cm="1">
        <f t="array" ref="N36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60" s="3" t="str">
        <f t="shared" si="10"/>
        <v>Medium Risk</v>
      </c>
      <c r="P360" s="3" t="str">
        <f t="shared" si="11"/>
        <v>18-20</v>
      </c>
    </row>
    <row r="361" spans="1:16">
      <c r="A361" t="s">
        <v>395</v>
      </c>
      <c r="B361">
        <v>20</v>
      </c>
      <c r="C361" t="s">
        <v>5</v>
      </c>
      <c r="D361">
        <v>86.42</v>
      </c>
      <c r="E361">
        <v>4</v>
      </c>
      <c r="F361">
        <v>2.82</v>
      </c>
      <c r="G361">
        <v>63.85</v>
      </c>
      <c r="H361">
        <v>78.91</v>
      </c>
      <c r="I361">
        <v>17</v>
      </c>
      <c r="J361">
        <v>4</v>
      </c>
      <c r="K361">
        <f>(StudentData[[#This Row],[Midterm_Grade]]*40%)+(StudentData[[#This Row],[Final_Grade]]*60%)</f>
        <v>72.885999999999996</v>
      </c>
      <c r="L361">
        <f>StudentData[[#This Row],[Attendance_Percentage]]*40%+StudentData[[#This Row],[Assignments_Completed]]*2+StudentData[[#This Row],[Class_Participation]]*2+StudentData[[#This Row],[Projects_Submitted]]*4</f>
        <v>64.207999999999998</v>
      </c>
      <c r="M361">
        <f>StudentData[[#This Row],[Academic_Score]]*60%+StudentData[[#This Row],[Engagement_Score]]*30%+MIN(StudentData[[#This Row],[Study_Hours_per_Week]],20)/20*100*10%</f>
        <v>71.494</v>
      </c>
      <c r="N361" s="3" t="str" cm="1">
        <f t="array" ref="N361">_xlfn.IFS(StudentData[[#This Row],[Success_Score]]&gt;=85,"Exceptional",StudentData[[#This Row],[Success_Score]]&gt;=70,"Strong",StudentData[[#This Row],[Success_Score]]&gt;=55,"Developing",TRUE,"Needs Improvement")</f>
        <v>Strong</v>
      </c>
      <c r="O361" s="3" t="str">
        <f t="shared" si="10"/>
        <v>Low Risk</v>
      </c>
      <c r="P361" s="3" t="str">
        <f t="shared" si="11"/>
        <v>18-20</v>
      </c>
    </row>
    <row r="362" spans="1:16">
      <c r="A362" t="s">
        <v>396</v>
      </c>
      <c r="B362">
        <v>21</v>
      </c>
      <c r="C362" t="s">
        <v>4</v>
      </c>
      <c r="D362">
        <v>88.82</v>
      </c>
      <c r="E362">
        <v>3</v>
      </c>
      <c r="F362">
        <v>3.64</v>
      </c>
      <c r="G362">
        <v>31.97</v>
      </c>
      <c r="H362">
        <v>60.29</v>
      </c>
      <c r="I362">
        <v>19</v>
      </c>
      <c r="J362">
        <v>1</v>
      </c>
      <c r="K362">
        <f>(StudentData[[#This Row],[Midterm_Grade]]*40%)+(StudentData[[#This Row],[Final_Grade]]*60%)</f>
        <v>48.962000000000003</v>
      </c>
      <c r="L362">
        <f>StudentData[[#This Row],[Attendance_Percentage]]*40%+StudentData[[#This Row],[Assignments_Completed]]*2+StudentData[[#This Row],[Class_Participation]]*2+StudentData[[#This Row],[Projects_Submitted]]*4</f>
        <v>52.808</v>
      </c>
      <c r="M362">
        <f>StudentData[[#This Row],[Academic_Score]]*60%+StudentData[[#This Row],[Engagement_Score]]*30%+MIN(StudentData[[#This Row],[Study_Hours_per_Week]],20)/20*100*10%</f>
        <v>54.7196</v>
      </c>
      <c r="N362" s="3" t="str" cm="1">
        <f t="array" ref="N36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62" s="3" t="str">
        <f t="shared" si="10"/>
        <v>Medium Risk</v>
      </c>
      <c r="P362" s="3" t="str">
        <f t="shared" si="11"/>
        <v>21-23</v>
      </c>
    </row>
    <row r="363" spans="1:16">
      <c r="A363" t="s">
        <v>397</v>
      </c>
      <c r="B363">
        <v>18</v>
      </c>
      <c r="C363" t="s">
        <v>4</v>
      </c>
      <c r="D363">
        <v>82.81</v>
      </c>
      <c r="E363">
        <v>3</v>
      </c>
      <c r="F363">
        <v>1.91</v>
      </c>
      <c r="G363">
        <v>5.71</v>
      </c>
      <c r="H363">
        <v>65.42</v>
      </c>
      <c r="I363">
        <v>15</v>
      </c>
      <c r="J363">
        <v>5</v>
      </c>
      <c r="K363">
        <f>(StudentData[[#This Row],[Midterm_Grade]]*40%)+(StudentData[[#This Row],[Final_Grade]]*60%)</f>
        <v>41.536000000000001</v>
      </c>
      <c r="L363">
        <f>StudentData[[#This Row],[Attendance_Percentage]]*40%+StudentData[[#This Row],[Assignments_Completed]]*2+StudentData[[#This Row],[Class_Participation]]*2+StudentData[[#This Row],[Projects_Submitted]]*4</f>
        <v>62.944000000000003</v>
      </c>
      <c r="M363">
        <f>StudentData[[#This Row],[Academic_Score]]*60%+StudentData[[#This Row],[Engagement_Score]]*30%+MIN(StudentData[[#This Row],[Study_Hours_per_Week]],20)/20*100*10%</f>
        <v>51.3048</v>
      </c>
      <c r="N363" s="3" t="str" cm="1">
        <f t="array" ref="N36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63" s="3" t="str">
        <f t="shared" si="10"/>
        <v>Medium Risk</v>
      </c>
      <c r="P363" s="3" t="str">
        <f t="shared" si="11"/>
        <v>18-20</v>
      </c>
    </row>
    <row r="364" spans="1:16">
      <c r="A364" t="s">
        <v>398</v>
      </c>
      <c r="B364">
        <v>18</v>
      </c>
      <c r="C364" t="s">
        <v>4</v>
      </c>
      <c r="D364">
        <v>58.87</v>
      </c>
      <c r="E364">
        <v>8</v>
      </c>
      <c r="F364">
        <v>3.47</v>
      </c>
      <c r="G364">
        <v>13.76</v>
      </c>
      <c r="H364">
        <v>99.82</v>
      </c>
      <c r="I364">
        <v>10</v>
      </c>
      <c r="J364">
        <v>3</v>
      </c>
      <c r="K364">
        <f>(StudentData[[#This Row],[Midterm_Grade]]*40%)+(StudentData[[#This Row],[Final_Grade]]*60%)</f>
        <v>65.396000000000001</v>
      </c>
      <c r="L364">
        <f>StudentData[[#This Row],[Attendance_Percentage]]*40%+StudentData[[#This Row],[Assignments_Completed]]*2+StudentData[[#This Row],[Class_Participation]]*2+StudentData[[#This Row],[Projects_Submitted]]*4</f>
        <v>58.488</v>
      </c>
      <c r="M364">
        <f>StudentData[[#This Row],[Academic_Score]]*60%+StudentData[[#This Row],[Engagement_Score]]*30%+MIN(StudentData[[#This Row],[Study_Hours_per_Week]],20)/20*100*10%</f>
        <v>61.783999999999999</v>
      </c>
      <c r="N364" s="3" t="str" cm="1">
        <f t="array" ref="N364">_xlfn.IFS(StudentData[[#This Row],[Success_Score]]&gt;=85,"Exceptional",StudentData[[#This Row],[Success_Score]]&gt;=70,"Strong",StudentData[[#This Row],[Success_Score]]&gt;=55,"Developing",TRUE,"Needs Improvement")</f>
        <v>Developing</v>
      </c>
      <c r="O364" s="3" t="str">
        <f t="shared" si="10"/>
        <v>Medium Risk</v>
      </c>
      <c r="P364" s="3" t="str">
        <f t="shared" si="11"/>
        <v>18-20</v>
      </c>
    </row>
    <row r="365" spans="1:16">
      <c r="A365" t="s">
        <v>399</v>
      </c>
      <c r="B365">
        <v>19</v>
      </c>
      <c r="C365" t="s">
        <v>5</v>
      </c>
      <c r="D365">
        <v>77.25</v>
      </c>
      <c r="E365">
        <v>10</v>
      </c>
      <c r="F365">
        <v>5.47</v>
      </c>
      <c r="G365">
        <v>0.09</v>
      </c>
      <c r="H365">
        <v>7.5</v>
      </c>
      <c r="I365">
        <v>6</v>
      </c>
      <c r="J365">
        <v>4</v>
      </c>
      <c r="K365">
        <f>(StudentData[[#This Row],[Midterm_Grade]]*40%)+(StudentData[[#This Row],[Final_Grade]]*60%)</f>
        <v>4.5359999999999996</v>
      </c>
      <c r="L365">
        <f>StudentData[[#This Row],[Attendance_Percentage]]*40%+StudentData[[#This Row],[Assignments_Completed]]*2+StudentData[[#This Row],[Class_Participation]]*2+StudentData[[#This Row],[Projects_Submitted]]*4</f>
        <v>77.84</v>
      </c>
      <c r="M365">
        <f>StudentData[[#This Row],[Academic_Score]]*60%+StudentData[[#This Row],[Engagement_Score]]*30%+MIN(StudentData[[#This Row],[Study_Hours_per_Week]],20)/20*100*10%</f>
        <v>29.073599999999999</v>
      </c>
      <c r="N365" s="3" t="str" cm="1">
        <f t="array" ref="N36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65" s="3" t="str">
        <f t="shared" si="10"/>
        <v>Medium Risk</v>
      </c>
      <c r="P365" s="3" t="str">
        <f t="shared" si="11"/>
        <v>18-20</v>
      </c>
    </row>
    <row r="366" spans="1:16">
      <c r="A366" t="s">
        <v>400</v>
      </c>
      <c r="B366">
        <v>24</v>
      </c>
      <c r="C366" t="s">
        <v>5</v>
      </c>
      <c r="D366">
        <v>99.23</v>
      </c>
      <c r="E366">
        <v>7</v>
      </c>
      <c r="F366">
        <v>9.92</v>
      </c>
      <c r="G366">
        <v>90.32</v>
      </c>
      <c r="H366">
        <v>22.3</v>
      </c>
      <c r="I366">
        <v>16</v>
      </c>
      <c r="J366">
        <v>0</v>
      </c>
      <c r="K366">
        <f>(StudentData[[#This Row],[Midterm_Grade]]*40%)+(StudentData[[#This Row],[Final_Grade]]*60%)</f>
        <v>49.508000000000003</v>
      </c>
      <c r="L366">
        <f>StudentData[[#This Row],[Attendance_Percentage]]*40%+StudentData[[#This Row],[Assignments_Completed]]*2+StudentData[[#This Row],[Class_Participation]]*2+StudentData[[#This Row],[Projects_Submitted]]*4</f>
        <v>73.532000000000011</v>
      </c>
      <c r="M366">
        <f>StudentData[[#This Row],[Academic_Score]]*60%+StudentData[[#This Row],[Engagement_Score]]*30%+MIN(StudentData[[#This Row],[Study_Hours_per_Week]],20)/20*100*10%</f>
        <v>59.764400000000002</v>
      </c>
      <c r="N366" s="3" t="str" cm="1">
        <f t="array" ref="N366">_xlfn.IFS(StudentData[[#This Row],[Success_Score]]&gt;=85,"Exceptional",StudentData[[#This Row],[Success_Score]]&gt;=70,"Strong",StudentData[[#This Row],[Success_Score]]&gt;=55,"Developing",TRUE,"Needs Improvement")</f>
        <v>Developing</v>
      </c>
      <c r="O366" s="3" t="str">
        <f t="shared" si="10"/>
        <v>Medium Risk</v>
      </c>
      <c r="P366" s="3" t="str">
        <f t="shared" si="11"/>
        <v>24-25</v>
      </c>
    </row>
    <row r="367" spans="1:16">
      <c r="A367" t="s">
        <v>401</v>
      </c>
      <c r="B367">
        <v>24</v>
      </c>
      <c r="C367" t="s">
        <v>4</v>
      </c>
      <c r="D367">
        <v>96.87</v>
      </c>
      <c r="E367">
        <v>5</v>
      </c>
      <c r="F367">
        <v>6.64</v>
      </c>
      <c r="G367">
        <v>2.46</v>
      </c>
      <c r="H367">
        <v>40.79</v>
      </c>
      <c r="I367">
        <v>16</v>
      </c>
      <c r="J367">
        <v>1</v>
      </c>
      <c r="K367">
        <f>(StudentData[[#This Row],[Midterm_Grade]]*40%)+(StudentData[[#This Row],[Final_Grade]]*60%)</f>
        <v>25.457999999999998</v>
      </c>
      <c r="L367">
        <f>StudentData[[#This Row],[Attendance_Percentage]]*40%+StudentData[[#This Row],[Assignments_Completed]]*2+StudentData[[#This Row],[Class_Participation]]*2+StudentData[[#This Row],[Projects_Submitted]]*4</f>
        <v>66.028000000000006</v>
      </c>
      <c r="M367">
        <f>StudentData[[#This Row],[Academic_Score]]*60%+StudentData[[#This Row],[Engagement_Score]]*30%+MIN(StudentData[[#This Row],[Study_Hours_per_Week]],20)/20*100*10%</f>
        <v>43.083200000000005</v>
      </c>
      <c r="N367" s="3" t="str" cm="1">
        <f t="array" ref="N36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67" s="3" t="str">
        <f t="shared" si="10"/>
        <v>Medium Risk</v>
      </c>
      <c r="P367" s="3" t="str">
        <f t="shared" si="11"/>
        <v>24-25</v>
      </c>
    </row>
    <row r="368" spans="1:16">
      <c r="A368" t="s">
        <v>402</v>
      </c>
      <c r="B368">
        <v>23</v>
      </c>
      <c r="C368" t="s">
        <v>5</v>
      </c>
      <c r="D368">
        <v>52.16</v>
      </c>
      <c r="E368">
        <v>0</v>
      </c>
      <c r="F368">
        <v>1.99</v>
      </c>
      <c r="G368">
        <v>20.95</v>
      </c>
      <c r="H368">
        <v>34.78</v>
      </c>
      <c r="I368">
        <v>11</v>
      </c>
      <c r="J368">
        <v>3</v>
      </c>
      <c r="K368">
        <f>(StudentData[[#This Row],[Midterm_Grade]]*40%)+(StudentData[[#This Row],[Final_Grade]]*60%)</f>
        <v>29.247999999999998</v>
      </c>
      <c r="L368">
        <f>StudentData[[#This Row],[Attendance_Percentage]]*40%+StudentData[[#This Row],[Assignments_Completed]]*2+StudentData[[#This Row],[Class_Participation]]*2+StudentData[[#This Row],[Projects_Submitted]]*4</f>
        <v>36.844000000000001</v>
      </c>
      <c r="M368">
        <f>StudentData[[#This Row],[Academic_Score]]*60%+StudentData[[#This Row],[Engagement_Score]]*30%+MIN(StudentData[[#This Row],[Study_Hours_per_Week]],20)/20*100*10%</f>
        <v>34.101999999999997</v>
      </c>
      <c r="N368" s="3" t="str" cm="1">
        <f t="array" ref="N36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68" s="3" t="str">
        <f t="shared" si="10"/>
        <v>High Risk</v>
      </c>
      <c r="P368" s="3" t="str">
        <f t="shared" si="11"/>
        <v>21-23</v>
      </c>
    </row>
    <row r="369" spans="1:16">
      <c r="A369" t="s">
        <v>403</v>
      </c>
      <c r="B369">
        <v>19</v>
      </c>
      <c r="C369" t="s">
        <v>5</v>
      </c>
      <c r="D369">
        <v>58.24</v>
      </c>
      <c r="E369">
        <v>1</v>
      </c>
      <c r="F369">
        <v>0.45</v>
      </c>
      <c r="G369">
        <v>41.63</v>
      </c>
      <c r="H369">
        <v>2.16</v>
      </c>
      <c r="I369">
        <v>12</v>
      </c>
      <c r="J369">
        <v>0</v>
      </c>
      <c r="K369">
        <f>(StudentData[[#This Row],[Midterm_Grade]]*40%)+(StudentData[[#This Row],[Final_Grade]]*60%)</f>
        <v>17.948</v>
      </c>
      <c r="L369">
        <f>StudentData[[#This Row],[Attendance_Percentage]]*40%+StudentData[[#This Row],[Assignments_Completed]]*2+StudentData[[#This Row],[Class_Participation]]*2+StudentData[[#This Row],[Projects_Submitted]]*4</f>
        <v>26.196000000000002</v>
      </c>
      <c r="M369">
        <f>StudentData[[#This Row],[Academic_Score]]*60%+StudentData[[#This Row],[Engagement_Score]]*30%+MIN(StudentData[[#This Row],[Study_Hours_per_Week]],20)/20*100*10%</f>
        <v>24.627600000000001</v>
      </c>
      <c r="N369" s="3" t="str" cm="1">
        <f t="array" ref="N36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69" s="3" t="str">
        <f t="shared" si="10"/>
        <v>High Risk</v>
      </c>
      <c r="P369" s="3" t="str">
        <f t="shared" si="11"/>
        <v>18-20</v>
      </c>
    </row>
    <row r="370" spans="1:16">
      <c r="A370" t="s">
        <v>404</v>
      </c>
      <c r="B370">
        <v>20</v>
      </c>
      <c r="C370" t="s">
        <v>4</v>
      </c>
      <c r="D370">
        <v>56.59</v>
      </c>
      <c r="E370">
        <v>5</v>
      </c>
      <c r="F370">
        <v>1.26</v>
      </c>
      <c r="G370">
        <v>35.659999999999997</v>
      </c>
      <c r="H370">
        <v>9.18</v>
      </c>
      <c r="I370">
        <v>9</v>
      </c>
      <c r="J370">
        <v>5</v>
      </c>
      <c r="K370">
        <f>(StudentData[[#This Row],[Midterm_Grade]]*40%)+(StudentData[[#This Row],[Final_Grade]]*60%)</f>
        <v>19.771999999999998</v>
      </c>
      <c r="L370">
        <f>StudentData[[#This Row],[Attendance_Percentage]]*40%+StudentData[[#This Row],[Assignments_Completed]]*2+StudentData[[#This Row],[Class_Participation]]*2+StudentData[[#This Row],[Projects_Submitted]]*4</f>
        <v>55.156000000000006</v>
      </c>
      <c r="M370">
        <f>StudentData[[#This Row],[Academic_Score]]*60%+StudentData[[#This Row],[Engagement_Score]]*30%+MIN(StudentData[[#This Row],[Study_Hours_per_Week]],20)/20*100*10%</f>
        <v>32.909999999999997</v>
      </c>
      <c r="N370" s="3" t="str" cm="1">
        <f t="array" ref="N37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70" s="3" t="str">
        <f t="shared" si="10"/>
        <v>High Risk</v>
      </c>
      <c r="P370" s="3" t="str">
        <f t="shared" si="11"/>
        <v>18-20</v>
      </c>
    </row>
    <row r="371" spans="1:16">
      <c r="A371" t="s">
        <v>405</v>
      </c>
      <c r="B371">
        <v>24</v>
      </c>
      <c r="C371" t="s">
        <v>6</v>
      </c>
      <c r="D371">
        <v>86.3</v>
      </c>
      <c r="E371">
        <v>10</v>
      </c>
      <c r="F371">
        <v>5.63</v>
      </c>
      <c r="G371">
        <v>91.17</v>
      </c>
      <c r="H371">
        <v>68.099999999999994</v>
      </c>
      <c r="I371">
        <v>6</v>
      </c>
      <c r="J371">
        <v>1</v>
      </c>
      <c r="K371">
        <f>(StudentData[[#This Row],[Midterm_Grade]]*40%)+(StudentData[[#This Row],[Final_Grade]]*60%)</f>
        <v>77.328000000000003</v>
      </c>
      <c r="L371">
        <f>StudentData[[#This Row],[Attendance_Percentage]]*40%+StudentData[[#This Row],[Assignments_Completed]]*2+StudentData[[#This Row],[Class_Participation]]*2+StudentData[[#This Row],[Projects_Submitted]]*4</f>
        <v>69.78</v>
      </c>
      <c r="M371">
        <f>StudentData[[#This Row],[Academic_Score]]*60%+StudentData[[#This Row],[Engagement_Score]]*30%+MIN(StudentData[[#This Row],[Study_Hours_per_Week]],20)/20*100*10%</f>
        <v>70.330799999999996</v>
      </c>
      <c r="N371" s="3" t="str" cm="1">
        <f t="array" ref="N371">_xlfn.IFS(StudentData[[#This Row],[Success_Score]]&gt;=85,"Exceptional",StudentData[[#This Row],[Success_Score]]&gt;=70,"Strong",StudentData[[#This Row],[Success_Score]]&gt;=55,"Developing",TRUE,"Needs Improvement")</f>
        <v>Strong</v>
      </c>
      <c r="O371" s="3" t="str">
        <f t="shared" si="10"/>
        <v>Low Risk</v>
      </c>
      <c r="P371" s="3" t="str">
        <f t="shared" si="11"/>
        <v>24-25</v>
      </c>
    </row>
    <row r="372" spans="1:16">
      <c r="A372" t="s">
        <v>406</v>
      </c>
      <c r="B372">
        <v>21</v>
      </c>
      <c r="C372" t="s">
        <v>5</v>
      </c>
      <c r="D372">
        <v>90.89</v>
      </c>
      <c r="E372">
        <v>1</v>
      </c>
      <c r="F372">
        <v>7.65</v>
      </c>
      <c r="G372">
        <v>4.03</v>
      </c>
      <c r="H372">
        <v>87.93</v>
      </c>
      <c r="I372">
        <v>13</v>
      </c>
      <c r="J372">
        <v>2</v>
      </c>
      <c r="K372">
        <f>(StudentData[[#This Row],[Midterm_Grade]]*40%)+(StudentData[[#This Row],[Final_Grade]]*60%)</f>
        <v>54.370000000000005</v>
      </c>
      <c r="L372">
        <f>StudentData[[#This Row],[Attendance_Percentage]]*40%+StudentData[[#This Row],[Assignments_Completed]]*2+StudentData[[#This Row],[Class_Participation]]*2+StudentData[[#This Row],[Projects_Submitted]]*4</f>
        <v>61.656000000000006</v>
      </c>
      <c r="M372">
        <f>StudentData[[#This Row],[Academic_Score]]*60%+StudentData[[#This Row],[Engagement_Score]]*30%+MIN(StudentData[[#This Row],[Study_Hours_per_Week]],20)/20*100*10%</f>
        <v>57.6188</v>
      </c>
      <c r="N372" s="3" t="str" cm="1">
        <f t="array" ref="N372">_xlfn.IFS(StudentData[[#This Row],[Success_Score]]&gt;=85,"Exceptional",StudentData[[#This Row],[Success_Score]]&gt;=70,"Strong",StudentData[[#This Row],[Success_Score]]&gt;=55,"Developing",TRUE,"Needs Improvement")</f>
        <v>Developing</v>
      </c>
      <c r="O372" s="3" t="str">
        <f t="shared" si="10"/>
        <v>Medium Risk</v>
      </c>
      <c r="P372" s="3" t="str">
        <f t="shared" si="11"/>
        <v>21-23</v>
      </c>
    </row>
    <row r="373" spans="1:16">
      <c r="A373" t="s">
        <v>407</v>
      </c>
      <c r="B373">
        <v>25</v>
      </c>
      <c r="C373" t="s">
        <v>5</v>
      </c>
      <c r="D373">
        <v>60.68</v>
      </c>
      <c r="E373">
        <v>9</v>
      </c>
      <c r="F373">
        <v>9.4</v>
      </c>
      <c r="G373">
        <v>51.22</v>
      </c>
      <c r="H373">
        <v>51.42</v>
      </c>
      <c r="I373">
        <v>0</v>
      </c>
      <c r="J373">
        <v>0</v>
      </c>
      <c r="K373">
        <f>(StudentData[[#This Row],[Midterm_Grade]]*40%)+(StudentData[[#This Row],[Final_Grade]]*60%)</f>
        <v>51.34</v>
      </c>
      <c r="L373">
        <f>StudentData[[#This Row],[Attendance_Percentage]]*40%+StudentData[[#This Row],[Assignments_Completed]]*2+StudentData[[#This Row],[Class_Participation]]*2+StudentData[[#This Row],[Projects_Submitted]]*4</f>
        <v>61.072000000000003</v>
      </c>
      <c r="M373">
        <f>StudentData[[#This Row],[Academic_Score]]*60%+StudentData[[#This Row],[Engagement_Score]]*30%+MIN(StudentData[[#This Row],[Study_Hours_per_Week]],20)/20*100*10%</f>
        <v>49.125600000000006</v>
      </c>
      <c r="N373" s="3" t="str" cm="1">
        <f t="array" ref="N37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73" s="3" t="str">
        <f t="shared" si="10"/>
        <v>Medium Risk</v>
      </c>
      <c r="P373" s="3" t="str">
        <f t="shared" si="11"/>
        <v>24-25</v>
      </c>
    </row>
    <row r="374" spans="1:16">
      <c r="A374" t="s">
        <v>408</v>
      </c>
      <c r="B374">
        <v>19</v>
      </c>
      <c r="C374" t="s">
        <v>4</v>
      </c>
      <c r="D374">
        <v>75.290000000000006</v>
      </c>
      <c r="E374">
        <v>4</v>
      </c>
      <c r="F374">
        <v>0.16</v>
      </c>
      <c r="G374">
        <v>68.05</v>
      </c>
      <c r="H374">
        <v>53.92</v>
      </c>
      <c r="I374">
        <v>16</v>
      </c>
      <c r="J374">
        <v>4</v>
      </c>
      <c r="K374">
        <f>(StudentData[[#This Row],[Midterm_Grade]]*40%)+(StudentData[[#This Row],[Final_Grade]]*60%)</f>
        <v>59.571999999999996</v>
      </c>
      <c r="L374">
        <f>StudentData[[#This Row],[Attendance_Percentage]]*40%+StudentData[[#This Row],[Assignments_Completed]]*2+StudentData[[#This Row],[Class_Participation]]*2+StudentData[[#This Row],[Projects_Submitted]]*4</f>
        <v>54.436</v>
      </c>
      <c r="M374">
        <f>StudentData[[#This Row],[Academic_Score]]*60%+StudentData[[#This Row],[Engagement_Score]]*30%+MIN(StudentData[[#This Row],[Study_Hours_per_Week]],20)/20*100*10%</f>
        <v>60.073999999999998</v>
      </c>
      <c r="N374" s="3" t="str" cm="1">
        <f t="array" ref="N374">_xlfn.IFS(StudentData[[#This Row],[Success_Score]]&gt;=85,"Exceptional",StudentData[[#This Row],[Success_Score]]&gt;=70,"Strong",StudentData[[#This Row],[Success_Score]]&gt;=55,"Developing",TRUE,"Needs Improvement")</f>
        <v>Developing</v>
      </c>
      <c r="O374" s="3" t="str">
        <f t="shared" si="10"/>
        <v>Medium Risk</v>
      </c>
      <c r="P374" s="3" t="str">
        <f t="shared" si="11"/>
        <v>18-20</v>
      </c>
    </row>
    <row r="375" spans="1:16">
      <c r="A375" t="s">
        <v>409</v>
      </c>
      <c r="B375">
        <v>25</v>
      </c>
      <c r="C375" t="s">
        <v>5</v>
      </c>
      <c r="D375">
        <v>92.04</v>
      </c>
      <c r="E375">
        <v>4</v>
      </c>
      <c r="F375">
        <v>5.23</v>
      </c>
      <c r="G375">
        <v>93.17</v>
      </c>
      <c r="H375">
        <v>25.51</v>
      </c>
      <c r="I375">
        <v>3</v>
      </c>
      <c r="J375">
        <v>3</v>
      </c>
      <c r="K375">
        <f>(StudentData[[#This Row],[Midterm_Grade]]*40%)+(StudentData[[#This Row],[Final_Grade]]*60%)</f>
        <v>52.573999999999998</v>
      </c>
      <c r="L375">
        <f>StudentData[[#This Row],[Attendance_Percentage]]*40%+StudentData[[#This Row],[Assignments_Completed]]*2+StudentData[[#This Row],[Class_Participation]]*2+StudentData[[#This Row],[Projects_Submitted]]*4</f>
        <v>67.27600000000001</v>
      </c>
      <c r="M375">
        <f>StudentData[[#This Row],[Academic_Score]]*60%+StudentData[[#This Row],[Engagement_Score]]*30%+MIN(StudentData[[#This Row],[Study_Hours_per_Week]],20)/20*100*10%</f>
        <v>53.227199999999996</v>
      </c>
      <c r="N375" s="3" t="str" cm="1">
        <f t="array" ref="N37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75" s="3" t="str">
        <f t="shared" si="10"/>
        <v>Medium Risk</v>
      </c>
      <c r="P375" s="3" t="str">
        <f t="shared" si="11"/>
        <v>24-25</v>
      </c>
    </row>
    <row r="376" spans="1:16">
      <c r="A376" t="s">
        <v>410</v>
      </c>
      <c r="B376">
        <v>18</v>
      </c>
      <c r="C376" t="s">
        <v>5</v>
      </c>
      <c r="D376">
        <v>86.64</v>
      </c>
      <c r="E376">
        <v>5</v>
      </c>
      <c r="F376">
        <v>4.71</v>
      </c>
      <c r="G376">
        <v>62.04</v>
      </c>
      <c r="H376">
        <v>76.790000000000006</v>
      </c>
      <c r="I376">
        <v>4</v>
      </c>
      <c r="J376">
        <v>1</v>
      </c>
      <c r="K376">
        <f>(StudentData[[#This Row],[Midterm_Grade]]*40%)+(StudentData[[#This Row],[Final_Grade]]*60%)</f>
        <v>70.890000000000015</v>
      </c>
      <c r="L376">
        <f>StudentData[[#This Row],[Attendance_Percentage]]*40%+StudentData[[#This Row],[Assignments_Completed]]*2+StudentData[[#This Row],[Class_Participation]]*2+StudentData[[#This Row],[Projects_Submitted]]*4</f>
        <v>58.076000000000001</v>
      </c>
      <c r="M376">
        <f>StudentData[[#This Row],[Academic_Score]]*60%+StudentData[[#This Row],[Engagement_Score]]*30%+MIN(StudentData[[#This Row],[Study_Hours_per_Week]],20)/20*100*10%</f>
        <v>61.956800000000001</v>
      </c>
      <c r="N376" s="3" t="str" cm="1">
        <f t="array" ref="N376">_xlfn.IFS(StudentData[[#This Row],[Success_Score]]&gt;=85,"Exceptional",StudentData[[#This Row],[Success_Score]]&gt;=70,"Strong",StudentData[[#This Row],[Success_Score]]&gt;=55,"Developing",TRUE,"Needs Improvement")</f>
        <v>Developing</v>
      </c>
      <c r="O376" s="3" t="str">
        <f t="shared" si="10"/>
        <v>Low Risk</v>
      </c>
      <c r="P376" s="3" t="str">
        <f t="shared" si="11"/>
        <v>18-20</v>
      </c>
    </row>
    <row r="377" spans="1:16">
      <c r="A377" t="s">
        <v>411</v>
      </c>
      <c r="B377">
        <v>21</v>
      </c>
      <c r="C377" t="s">
        <v>5</v>
      </c>
      <c r="D377">
        <v>77.11</v>
      </c>
      <c r="E377">
        <v>5</v>
      </c>
      <c r="F377">
        <v>6.56</v>
      </c>
      <c r="G377">
        <v>80.38</v>
      </c>
      <c r="H377">
        <v>75.180000000000007</v>
      </c>
      <c r="I377">
        <v>19</v>
      </c>
      <c r="J377">
        <v>0</v>
      </c>
      <c r="K377">
        <f>(StudentData[[#This Row],[Midterm_Grade]]*40%)+(StudentData[[#This Row],[Final_Grade]]*60%)</f>
        <v>77.260000000000005</v>
      </c>
      <c r="L377">
        <f>StudentData[[#This Row],[Attendance_Percentage]]*40%+StudentData[[#This Row],[Assignments_Completed]]*2+StudentData[[#This Row],[Class_Participation]]*2+StudentData[[#This Row],[Projects_Submitted]]*4</f>
        <v>53.963999999999999</v>
      </c>
      <c r="M377">
        <f>StudentData[[#This Row],[Academic_Score]]*60%+StudentData[[#This Row],[Engagement_Score]]*30%+MIN(StudentData[[#This Row],[Study_Hours_per_Week]],20)/20*100*10%</f>
        <v>72.045199999999994</v>
      </c>
      <c r="N377" s="3" t="str" cm="1">
        <f t="array" ref="N377">_xlfn.IFS(StudentData[[#This Row],[Success_Score]]&gt;=85,"Exceptional",StudentData[[#This Row],[Success_Score]]&gt;=70,"Strong",StudentData[[#This Row],[Success_Score]]&gt;=55,"Developing",TRUE,"Needs Improvement")</f>
        <v>Strong</v>
      </c>
      <c r="O377" s="3" t="str">
        <f t="shared" si="10"/>
        <v>Low Risk</v>
      </c>
      <c r="P377" s="3" t="str">
        <f t="shared" si="11"/>
        <v>21-23</v>
      </c>
    </row>
    <row r="378" spans="1:16">
      <c r="A378" t="s">
        <v>412</v>
      </c>
      <c r="B378">
        <v>21</v>
      </c>
      <c r="C378" t="s">
        <v>4</v>
      </c>
      <c r="D378">
        <v>79.52</v>
      </c>
      <c r="E378">
        <v>5</v>
      </c>
      <c r="F378">
        <v>5.6</v>
      </c>
      <c r="G378">
        <v>8.3699999999999992</v>
      </c>
      <c r="H378">
        <v>58.84</v>
      </c>
      <c r="I378">
        <v>6</v>
      </c>
      <c r="J378">
        <v>2</v>
      </c>
      <c r="K378">
        <f>(StudentData[[#This Row],[Midterm_Grade]]*40%)+(StudentData[[#This Row],[Final_Grade]]*60%)</f>
        <v>38.652000000000001</v>
      </c>
      <c r="L378">
        <f>StudentData[[#This Row],[Attendance_Percentage]]*40%+StudentData[[#This Row],[Assignments_Completed]]*2+StudentData[[#This Row],[Class_Participation]]*2+StudentData[[#This Row],[Projects_Submitted]]*4</f>
        <v>61.007999999999996</v>
      </c>
      <c r="M378">
        <f>StudentData[[#This Row],[Academic_Score]]*60%+StudentData[[#This Row],[Engagement_Score]]*30%+MIN(StudentData[[#This Row],[Study_Hours_per_Week]],20)/20*100*10%</f>
        <v>44.493600000000001</v>
      </c>
      <c r="N378" s="3" t="str" cm="1">
        <f t="array" ref="N37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78" s="3" t="str">
        <f t="shared" si="10"/>
        <v>Medium Risk</v>
      </c>
      <c r="P378" s="3" t="str">
        <f t="shared" si="11"/>
        <v>21-23</v>
      </c>
    </row>
    <row r="379" spans="1:16">
      <c r="A379" t="s">
        <v>413</v>
      </c>
      <c r="B379">
        <v>18</v>
      </c>
      <c r="C379" t="s">
        <v>4</v>
      </c>
      <c r="D379">
        <v>75.42</v>
      </c>
      <c r="E379">
        <v>1</v>
      </c>
      <c r="F379">
        <v>6.87</v>
      </c>
      <c r="G379">
        <v>38.590000000000003</v>
      </c>
      <c r="H379">
        <v>21.27</v>
      </c>
      <c r="I379">
        <v>9</v>
      </c>
      <c r="J379">
        <v>3</v>
      </c>
      <c r="K379">
        <f>(StudentData[[#This Row],[Midterm_Grade]]*40%)+(StudentData[[#This Row],[Final_Grade]]*60%)</f>
        <v>28.198</v>
      </c>
      <c r="L379">
        <f>StudentData[[#This Row],[Attendance_Percentage]]*40%+StudentData[[#This Row],[Assignments_Completed]]*2+StudentData[[#This Row],[Class_Participation]]*2+StudentData[[#This Row],[Projects_Submitted]]*4</f>
        <v>57.908000000000008</v>
      </c>
      <c r="M379">
        <f>StudentData[[#This Row],[Academic_Score]]*60%+StudentData[[#This Row],[Engagement_Score]]*30%+MIN(StudentData[[#This Row],[Study_Hours_per_Week]],20)/20*100*10%</f>
        <v>38.791200000000003</v>
      </c>
      <c r="N379" s="3" t="str" cm="1">
        <f t="array" ref="N37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79" s="3" t="str">
        <f t="shared" si="10"/>
        <v>Medium Risk</v>
      </c>
      <c r="P379" s="3" t="str">
        <f t="shared" si="11"/>
        <v>18-20</v>
      </c>
    </row>
    <row r="380" spans="1:16">
      <c r="A380" t="s">
        <v>414</v>
      </c>
      <c r="B380">
        <v>19</v>
      </c>
      <c r="C380" t="s">
        <v>5</v>
      </c>
      <c r="D380">
        <v>64.88</v>
      </c>
      <c r="E380">
        <v>9</v>
      </c>
      <c r="F380">
        <v>6.58</v>
      </c>
      <c r="G380">
        <v>37.39</v>
      </c>
      <c r="H380">
        <v>9.6999999999999993</v>
      </c>
      <c r="I380">
        <v>16</v>
      </c>
      <c r="J380">
        <v>3</v>
      </c>
      <c r="K380">
        <f>(StudentData[[#This Row],[Midterm_Grade]]*40%)+(StudentData[[#This Row],[Final_Grade]]*60%)</f>
        <v>20.776</v>
      </c>
      <c r="L380">
        <f>StudentData[[#This Row],[Attendance_Percentage]]*40%+StudentData[[#This Row],[Assignments_Completed]]*2+StudentData[[#This Row],[Class_Participation]]*2+StudentData[[#This Row],[Projects_Submitted]]*4</f>
        <v>69.111999999999995</v>
      </c>
      <c r="M380">
        <f>StudentData[[#This Row],[Academic_Score]]*60%+StudentData[[#This Row],[Engagement_Score]]*30%+MIN(StudentData[[#This Row],[Study_Hours_per_Week]],20)/20*100*10%</f>
        <v>41.199199999999998</v>
      </c>
      <c r="N380" s="3" t="str" cm="1">
        <f t="array" ref="N38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80" s="3" t="str">
        <f t="shared" si="10"/>
        <v>Medium Risk</v>
      </c>
      <c r="P380" s="3" t="str">
        <f t="shared" si="11"/>
        <v>18-20</v>
      </c>
    </row>
    <row r="381" spans="1:16">
      <c r="A381" t="s">
        <v>415</v>
      </c>
      <c r="B381">
        <v>18</v>
      </c>
      <c r="C381" t="s">
        <v>5</v>
      </c>
      <c r="D381">
        <v>78.25</v>
      </c>
      <c r="E381">
        <v>2</v>
      </c>
      <c r="F381">
        <v>1.17</v>
      </c>
      <c r="G381">
        <v>88.63</v>
      </c>
      <c r="H381">
        <v>6.42</v>
      </c>
      <c r="I381">
        <v>6</v>
      </c>
      <c r="J381">
        <v>0</v>
      </c>
      <c r="K381">
        <f>(StudentData[[#This Row],[Midterm_Grade]]*40%)+(StudentData[[#This Row],[Final_Grade]]*60%)</f>
        <v>39.303999999999995</v>
      </c>
      <c r="L381">
        <f>StudentData[[#This Row],[Attendance_Percentage]]*40%+StudentData[[#This Row],[Assignments_Completed]]*2+StudentData[[#This Row],[Class_Participation]]*2+StudentData[[#This Row],[Projects_Submitted]]*4</f>
        <v>37.64</v>
      </c>
      <c r="M381">
        <f>StudentData[[#This Row],[Academic_Score]]*60%+StudentData[[#This Row],[Engagement_Score]]*30%+MIN(StudentData[[#This Row],[Study_Hours_per_Week]],20)/20*100*10%</f>
        <v>37.874399999999994</v>
      </c>
      <c r="N381" s="3" t="str" cm="1">
        <f t="array" ref="N38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81" s="3" t="str">
        <f t="shared" si="10"/>
        <v>Medium Risk</v>
      </c>
      <c r="P381" s="3" t="str">
        <f t="shared" si="11"/>
        <v>18-20</v>
      </c>
    </row>
    <row r="382" spans="1:16">
      <c r="A382" t="s">
        <v>416</v>
      </c>
      <c r="B382">
        <v>25</v>
      </c>
      <c r="C382" t="s">
        <v>5</v>
      </c>
      <c r="D382">
        <v>84.44</v>
      </c>
      <c r="E382">
        <v>5</v>
      </c>
      <c r="F382">
        <v>8</v>
      </c>
      <c r="G382">
        <v>15.14</v>
      </c>
      <c r="H382">
        <v>59.27</v>
      </c>
      <c r="I382">
        <v>0</v>
      </c>
      <c r="J382">
        <v>2</v>
      </c>
      <c r="K382">
        <f>(StudentData[[#This Row],[Midterm_Grade]]*40%)+(StudentData[[#This Row],[Final_Grade]]*60%)</f>
        <v>41.617999999999995</v>
      </c>
      <c r="L382">
        <f>StudentData[[#This Row],[Attendance_Percentage]]*40%+StudentData[[#This Row],[Assignments_Completed]]*2+StudentData[[#This Row],[Class_Participation]]*2+StudentData[[#This Row],[Projects_Submitted]]*4</f>
        <v>67.77600000000001</v>
      </c>
      <c r="M382">
        <f>StudentData[[#This Row],[Academic_Score]]*60%+StudentData[[#This Row],[Engagement_Score]]*30%+MIN(StudentData[[#This Row],[Study_Hours_per_Week]],20)/20*100*10%</f>
        <v>45.303600000000003</v>
      </c>
      <c r="N382" s="3" t="str" cm="1">
        <f t="array" ref="N38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82" s="3" t="str">
        <f t="shared" si="10"/>
        <v>Medium Risk</v>
      </c>
      <c r="P382" s="3" t="str">
        <f t="shared" si="11"/>
        <v>24-25</v>
      </c>
    </row>
    <row r="383" spans="1:16">
      <c r="A383" t="s">
        <v>417</v>
      </c>
      <c r="B383">
        <v>23</v>
      </c>
      <c r="C383" t="s">
        <v>4</v>
      </c>
      <c r="D383">
        <v>93.67</v>
      </c>
      <c r="E383">
        <v>7</v>
      </c>
      <c r="F383">
        <v>1.23</v>
      </c>
      <c r="G383">
        <v>15.19</v>
      </c>
      <c r="H383">
        <v>82.5</v>
      </c>
      <c r="I383">
        <v>6</v>
      </c>
      <c r="J383">
        <v>5</v>
      </c>
      <c r="K383">
        <f>(StudentData[[#This Row],[Midterm_Grade]]*40%)+(StudentData[[#This Row],[Final_Grade]]*60%)</f>
        <v>55.576000000000001</v>
      </c>
      <c r="L383">
        <f>StudentData[[#This Row],[Attendance_Percentage]]*40%+StudentData[[#This Row],[Assignments_Completed]]*2+StudentData[[#This Row],[Class_Participation]]*2+StudentData[[#This Row],[Projects_Submitted]]*4</f>
        <v>73.927999999999997</v>
      </c>
      <c r="M383">
        <f>StudentData[[#This Row],[Academic_Score]]*60%+StudentData[[#This Row],[Engagement_Score]]*30%+MIN(StudentData[[#This Row],[Study_Hours_per_Week]],20)/20*100*10%</f>
        <v>58.524000000000001</v>
      </c>
      <c r="N383" s="3" t="str" cm="1">
        <f t="array" ref="N383">_xlfn.IFS(StudentData[[#This Row],[Success_Score]]&gt;=85,"Exceptional",StudentData[[#This Row],[Success_Score]]&gt;=70,"Strong",StudentData[[#This Row],[Success_Score]]&gt;=55,"Developing",TRUE,"Needs Improvement")</f>
        <v>Developing</v>
      </c>
      <c r="O383" s="3" t="str">
        <f t="shared" si="10"/>
        <v>Medium Risk</v>
      </c>
      <c r="P383" s="3" t="str">
        <f t="shared" si="11"/>
        <v>21-23</v>
      </c>
    </row>
    <row r="384" spans="1:16">
      <c r="A384" t="s">
        <v>418</v>
      </c>
      <c r="B384">
        <v>21</v>
      </c>
      <c r="C384" t="s">
        <v>5</v>
      </c>
      <c r="D384">
        <v>81.81</v>
      </c>
      <c r="E384">
        <v>10</v>
      </c>
      <c r="F384">
        <v>6.99</v>
      </c>
      <c r="G384">
        <v>32.86</v>
      </c>
      <c r="H384">
        <v>85.83</v>
      </c>
      <c r="I384">
        <v>10</v>
      </c>
      <c r="J384">
        <v>5</v>
      </c>
      <c r="K384">
        <f>(StudentData[[#This Row],[Midterm_Grade]]*40%)+(StudentData[[#This Row],[Final_Grade]]*60%)</f>
        <v>64.641999999999996</v>
      </c>
      <c r="L384">
        <f>StudentData[[#This Row],[Attendance_Percentage]]*40%+StudentData[[#This Row],[Assignments_Completed]]*2+StudentData[[#This Row],[Class_Participation]]*2+StudentData[[#This Row],[Projects_Submitted]]*4</f>
        <v>86.704000000000008</v>
      </c>
      <c r="M384">
        <f>StudentData[[#This Row],[Academic_Score]]*60%+StudentData[[#This Row],[Engagement_Score]]*30%+MIN(StudentData[[#This Row],[Study_Hours_per_Week]],20)/20*100*10%</f>
        <v>69.796400000000006</v>
      </c>
      <c r="N384" s="3" t="str" cm="1">
        <f t="array" ref="N384">_xlfn.IFS(StudentData[[#This Row],[Success_Score]]&gt;=85,"Exceptional",StudentData[[#This Row],[Success_Score]]&gt;=70,"Strong",StudentData[[#This Row],[Success_Score]]&gt;=55,"Developing",TRUE,"Needs Improvement")</f>
        <v>Developing</v>
      </c>
      <c r="O384" s="3" t="str">
        <f t="shared" si="10"/>
        <v>Low Risk</v>
      </c>
      <c r="P384" s="3" t="str">
        <f t="shared" si="11"/>
        <v>21-23</v>
      </c>
    </row>
    <row r="385" spans="1:16">
      <c r="A385" t="s">
        <v>419</v>
      </c>
      <c r="B385">
        <v>22</v>
      </c>
      <c r="C385" t="s">
        <v>5</v>
      </c>
      <c r="D385">
        <v>88.06</v>
      </c>
      <c r="E385">
        <v>0</v>
      </c>
      <c r="F385">
        <v>4.16</v>
      </c>
      <c r="G385">
        <v>5.45</v>
      </c>
      <c r="H385">
        <v>46.36</v>
      </c>
      <c r="I385">
        <v>8</v>
      </c>
      <c r="J385">
        <v>1</v>
      </c>
      <c r="K385">
        <f>(StudentData[[#This Row],[Midterm_Grade]]*40%)+(StudentData[[#This Row],[Final_Grade]]*60%)</f>
        <v>29.995999999999999</v>
      </c>
      <c r="L385">
        <f>StudentData[[#This Row],[Attendance_Percentage]]*40%+StudentData[[#This Row],[Assignments_Completed]]*2+StudentData[[#This Row],[Class_Participation]]*2+StudentData[[#This Row],[Projects_Submitted]]*4</f>
        <v>47.544000000000004</v>
      </c>
      <c r="M385">
        <f>StudentData[[#This Row],[Academic_Score]]*60%+StudentData[[#This Row],[Engagement_Score]]*30%+MIN(StudentData[[#This Row],[Study_Hours_per_Week]],20)/20*100*10%</f>
        <v>36.260800000000003</v>
      </c>
      <c r="N385" s="3" t="str" cm="1">
        <f t="array" ref="N38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85" s="3" t="str">
        <f t="shared" si="10"/>
        <v>Medium Risk</v>
      </c>
      <c r="P385" s="3" t="str">
        <f t="shared" si="11"/>
        <v>21-23</v>
      </c>
    </row>
    <row r="386" spans="1:16">
      <c r="A386" t="s">
        <v>420</v>
      </c>
      <c r="B386">
        <v>22</v>
      </c>
      <c r="C386" t="s">
        <v>4</v>
      </c>
      <c r="D386">
        <v>58</v>
      </c>
      <c r="E386">
        <v>0</v>
      </c>
      <c r="F386">
        <v>5.14</v>
      </c>
      <c r="G386">
        <v>18.25</v>
      </c>
      <c r="H386">
        <v>78.430000000000007</v>
      </c>
      <c r="I386">
        <v>11</v>
      </c>
      <c r="J386">
        <v>0</v>
      </c>
      <c r="K386">
        <f>(StudentData[[#This Row],[Midterm_Grade]]*40%)+(StudentData[[#This Row],[Final_Grade]]*60%)</f>
        <v>54.358000000000004</v>
      </c>
      <c r="L386">
        <f>StudentData[[#This Row],[Attendance_Percentage]]*40%+StudentData[[#This Row],[Assignments_Completed]]*2+StudentData[[#This Row],[Class_Participation]]*2+StudentData[[#This Row],[Projects_Submitted]]*4</f>
        <v>33.480000000000004</v>
      </c>
      <c r="M386">
        <f>StudentData[[#This Row],[Academic_Score]]*60%+StudentData[[#This Row],[Engagement_Score]]*30%+MIN(StudentData[[#This Row],[Study_Hours_per_Week]],20)/20*100*10%</f>
        <v>48.158799999999999</v>
      </c>
      <c r="N386" s="3" t="str" cm="1">
        <f t="array" ref="N38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86" s="3" t="str">
        <f t="shared" ref="O386:O449" si="12">IF(AND(D386&lt;60,K386&lt;50),"High Risk",IF(OR(D386&lt;70,K386&lt;60),"Medium Risk","Low Risk"))</f>
        <v>Medium Risk</v>
      </c>
      <c r="P386" s="3" t="str">
        <f t="shared" ref="P386:P449" si="13">IF(B386&lt;=20,"18-20",IF(B386&lt;=23,"21-23","24-25"))</f>
        <v>21-23</v>
      </c>
    </row>
    <row r="387" spans="1:16">
      <c r="A387" t="s">
        <v>421</v>
      </c>
      <c r="B387">
        <v>25</v>
      </c>
      <c r="C387" t="s">
        <v>5</v>
      </c>
      <c r="D387">
        <v>73.08</v>
      </c>
      <c r="E387">
        <v>10</v>
      </c>
      <c r="F387">
        <v>9.0299999999999994</v>
      </c>
      <c r="G387">
        <v>96.52</v>
      </c>
      <c r="H387">
        <v>94.69</v>
      </c>
      <c r="I387">
        <v>2</v>
      </c>
      <c r="J387">
        <v>1</v>
      </c>
      <c r="K387">
        <f>(StudentData[[#This Row],[Midterm_Grade]]*40%)+(StudentData[[#This Row],[Final_Grade]]*60%)</f>
        <v>95.421999999999997</v>
      </c>
      <c r="L387">
        <f>StudentData[[#This Row],[Attendance_Percentage]]*40%+StudentData[[#This Row],[Assignments_Completed]]*2+StudentData[[#This Row],[Class_Participation]]*2+StudentData[[#This Row],[Projects_Submitted]]*4</f>
        <v>71.292000000000002</v>
      </c>
      <c r="M387">
        <f>StudentData[[#This Row],[Academic_Score]]*60%+StudentData[[#This Row],[Engagement_Score]]*30%+MIN(StudentData[[#This Row],[Study_Hours_per_Week]],20)/20*100*10%</f>
        <v>79.640799999999999</v>
      </c>
      <c r="N387" s="3" t="str" cm="1">
        <f t="array" ref="N387">_xlfn.IFS(StudentData[[#This Row],[Success_Score]]&gt;=85,"Exceptional",StudentData[[#This Row],[Success_Score]]&gt;=70,"Strong",StudentData[[#This Row],[Success_Score]]&gt;=55,"Developing",TRUE,"Needs Improvement")</f>
        <v>Strong</v>
      </c>
      <c r="O387" s="3" t="str">
        <f t="shared" si="12"/>
        <v>Low Risk</v>
      </c>
      <c r="P387" s="3" t="str">
        <f t="shared" si="13"/>
        <v>24-25</v>
      </c>
    </row>
    <row r="388" spans="1:16">
      <c r="A388" t="s">
        <v>422</v>
      </c>
      <c r="B388">
        <v>20</v>
      </c>
      <c r="C388" t="s">
        <v>4</v>
      </c>
      <c r="D388">
        <v>50.47</v>
      </c>
      <c r="E388">
        <v>1</v>
      </c>
      <c r="F388">
        <v>8.9</v>
      </c>
      <c r="G388">
        <v>42.82</v>
      </c>
      <c r="H388">
        <v>27.52</v>
      </c>
      <c r="I388">
        <v>3</v>
      </c>
      <c r="J388">
        <v>5</v>
      </c>
      <c r="K388">
        <f>(StudentData[[#This Row],[Midterm_Grade]]*40%)+(StudentData[[#This Row],[Final_Grade]]*60%)</f>
        <v>33.64</v>
      </c>
      <c r="L388">
        <f>StudentData[[#This Row],[Attendance_Percentage]]*40%+StudentData[[#This Row],[Assignments_Completed]]*2+StudentData[[#This Row],[Class_Participation]]*2+StudentData[[#This Row],[Projects_Submitted]]*4</f>
        <v>59.988</v>
      </c>
      <c r="M388">
        <f>StudentData[[#This Row],[Academic_Score]]*60%+StudentData[[#This Row],[Engagement_Score]]*30%+MIN(StudentData[[#This Row],[Study_Hours_per_Week]],20)/20*100*10%</f>
        <v>39.680399999999999</v>
      </c>
      <c r="N388" s="3" t="str" cm="1">
        <f t="array" ref="N38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88" s="3" t="str">
        <f t="shared" si="12"/>
        <v>High Risk</v>
      </c>
      <c r="P388" s="3" t="str">
        <f t="shared" si="13"/>
        <v>18-20</v>
      </c>
    </row>
    <row r="389" spans="1:16">
      <c r="A389" t="s">
        <v>423</v>
      </c>
      <c r="B389">
        <v>24</v>
      </c>
      <c r="C389" t="s">
        <v>5</v>
      </c>
      <c r="D389">
        <v>62.33</v>
      </c>
      <c r="E389">
        <v>10</v>
      </c>
      <c r="F389">
        <v>8.18</v>
      </c>
      <c r="G389">
        <v>63.2</v>
      </c>
      <c r="H389">
        <v>39.799999999999997</v>
      </c>
      <c r="I389">
        <v>3</v>
      </c>
      <c r="J389">
        <v>3</v>
      </c>
      <c r="K389">
        <f>(StudentData[[#This Row],[Midterm_Grade]]*40%)+(StudentData[[#This Row],[Final_Grade]]*60%)</f>
        <v>49.16</v>
      </c>
      <c r="L389">
        <f>StudentData[[#This Row],[Attendance_Percentage]]*40%+StudentData[[#This Row],[Assignments_Completed]]*2+StudentData[[#This Row],[Class_Participation]]*2+StudentData[[#This Row],[Projects_Submitted]]*4</f>
        <v>73.292000000000002</v>
      </c>
      <c r="M389">
        <f>StudentData[[#This Row],[Academic_Score]]*60%+StudentData[[#This Row],[Engagement_Score]]*30%+MIN(StudentData[[#This Row],[Study_Hours_per_Week]],20)/20*100*10%</f>
        <v>52.983599999999996</v>
      </c>
      <c r="N389" s="3" t="str" cm="1">
        <f t="array" ref="N38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89" s="3" t="str">
        <f t="shared" si="12"/>
        <v>Medium Risk</v>
      </c>
      <c r="P389" s="3" t="str">
        <f t="shared" si="13"/>
        <v>24-25</v>
      </c>
    </row>
    <row r="390" spans="1:16">
      <c r="A390" t="s">
        <v>424</v>
      </c>
      <c r="B390">
        <v>18</v>
      </c>
      <c r="C390" t="s">
        <v>5</v>
      </c>
      <c r="D390">
        <v>86.32</v>
      </c>
      <c r="E390">
        <v>5</v>
      </c>
      <c r="F390">
        <v>5.0999999999999996</v>
      </c>
      <c r="G390">
        <v>72.61</v>
      </c>
      <c r="H390">
        <v>93.15</v>
      </c>
      <c r="I390">
        <v>12</v>
      </c>
      <c r="J390">
        <v>1</v>
      </c>
      <c r="K390">
        <f>(StudentData[[#This Row],[Midterm_Grade]]*40%)+(StudentData[[#This Row],[Final_Grade]]*60%)</f>
        <v>84.933999999999997</v>
      </c>
      <c r="L390">
        <f>StudentData[[#This Row],[Attendance_Percentage]]*40%+StudentData[[#This Row],[Assignments_Completed]]*2+StudentData[[#This Row],[Class_Participation]]*2+StudentData[[#This Row],[Projects_Submitted]]*4</f>
        <v>58.727999999999994</v>
      </c>
      <c r="M390">
        <f>StudentData[[#This Row],[Academic_Score]]*60%+StudentData[[#This Row],[Engagement_Score]]*30%+MIN(StudentData[[#This Row],[Study_Hours_per_Week]],20)/20*100*10%</f>
        <v>74.578800000000001</v>
      </c>
      <c r="N390" s="3" t="str" cm="1">
        <f t="array" ref="N390">_xlfn.IFS(StudentData[[#This Row],[Success_Score]]&gt;=85,"Exceptional",StudentData[[#This Row],[Success_Score]]&gt;=70,"Strong",StudentData[[#This Row],[Success_Score]]&gt;=55,"Developing",TRUE,"Needs Improvement")</f>
        <v>Strong</v>
      </c>
      <c r="O390" s="3" t="str">
        <f t="shared" si="12"/>
        <v>Low Risk</v>
      </c>
      <c r="P390" s="3" t="str">
        <f t="shared" si="13"/>
        <v>18-20</v>
      </c>
    </row>
    <row r="391" spans="1:16">
      <c r="A391" t="s">
        <v>425</v>
      </c>
      <c r="B391">
        <v>18</v>
      </c>
      <c r="C391" t="s">
        <v>5</v>
      </c>
      <c r="D391">
        <v>99.59</v>
      </c>
      <c r="E391">
        <v>8</v>
      </c>
      <c r="F391">
        <v>7.36</v>
      </c>
      <c r="G391">
        <v>36.700000000000003</v>
      </c>
      <c r="H391">
        <v>33.82</v>
      </c>
      <c r="I391">
        <v>18</v>
      </c>
      <c r="J391">
        <v>2</v>
      </c>
      <c r="K391">
        <f>(StudentData[[#This Row],[Midterm_Grade]]*40%)+(StudentData[[#This Row],[Final_Grade]]*60%)</f>
        <v>34.972000000000001</v>
      </c>
      <c r="L391">
        <f>StudentData[[#This Row],[Attendance_Percentage]]*40%+StudentData[[#This Row],[Assignments_Completed]]*2+StudentData[[#This Row],[Class_Participation]]*2+StudentData[[#This Row],[Projects_Submitted]]*4</f>
        <v>78.556000000000012</v>
      </c>
      <c r="M391">
        <f>StudentData[[#This Row],[Academic_Score]]*60%+StudentData[[#This Row],[Engagement_Score]]*30%+MIN(StudentData[[#This Row],[Study_Hours_per_Week]],20)/20*100*10%</f>
        <v>53.550000000000004</v>
      </c>
      <c r="N391" s="3" t="str" cm="1">
        <f t="array" ref="N39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91" s="3" t="str">
        <f t="shared" si="12"/>
        <v>Medium Risk</v>
      </c>
      <c r="P391" s="3" t="str">
        <f t="shared" si="13"/>
        <v>18-20</v>
      </c>
    </row>
    <row r="392" spans="1:16">
      <c r="A392" t="s">
        <v>426</v>
      </c>
      <c r="B392">
        <v>20</v>
      </c>
      <c r="C392" t="s">
        <v>4</v>
      </c>
      <c r="D392">
        <v>54.96</v>
      </c>
      <c r="E392">
        <v>3</v>
      </c>
      <c r="F392">
        <v>5.13</v>
      </c>
      <c r="G392">
        <v>14.72</v>
      </c>
      <c r="H392">
        <v>91.39</v>
      </c>
      <c r="I392">
        <v>9</v>
      </c>
      <c r="J392">
        <v>4</v>
      </c>
      <c r="K392">
        <f>(StudentData[[#This Row],[Midterm_Grade]]*40%)+(StudentData[[#This Row],[Final_Grade]]*60%)</f>
        <v>60.721999999999994</v>
      </c>
      <c r="L392">
        <f>StudentData[[#This Row],[Attendance_Percentage]]*40%+StudentData[[#This Row],[Assignments_Completed]]*2+StudentData[[#This Row],[Class_Participation]]*2+StudentData[[#This Row],[Projects_Submitted]]*4</f>
        <v>54.244</v>
      </c>
      <c r="M392">
        <f>StudentData[[#This Row],[Academic_Score]]*60%+StudentData[[#This Row],[Engagement_Score]]*30%+MIN(StudentData[[#This Row],[Study_Hours_per_Week]],20)/20*100*10%</f>
        <v>57.206399999999988</v>
      </c>
      <c r="N392" s="3" t="str" cm="1">
        <f t="array" ref="N392">_xlfn.IFS(StudentData[[#This Row],[Success_Score]]&gt;=85,"Exceptional",StudentData[[#This Row],[Success_Score]]&gt;=70,"Strong",StudentData[[#This Row],[Success_Score]]&gt;=55,"Developing",TRUE,"Needs Improvement")</f>
        <v>Developing</v>
      </c>
      <c r="O392" s="3" t="str">
        <f t="shared" si="12"/>
        <v>Medium Risk</v>
      </c>
      <c r="P392" s="3" t="str">
        <f t="shared" si="13"/>
        <v>18-20</v>
      </c>
    </row>
    <row r="393" spans="1:16">
      <c r="A393" t="s">
        <v>427</v>
      </c>
      <c r="B393">
        <v>20</v>
      </c>
      <c r="C393" t="s">
        <v>4</v>
      </c>
      <c r="D393">
        <v>70.069999999999993</v>
      </c>
      <c r="E393">
        <v>2</v>
      </c>
      <c r="F393">
        <v>8.6999999999999993</v>
      </c>
      <c r="G393">
        <v>20.66</v>
      </c>
      <c r="H393">
        <v>98.1</v>
      </c>
      <c r="I393">
        <v>4</v>
      </c>
      <c r="J393">
        <v>5</v>
      </c>
      <c r="K393">
        <f>(StudentData[[#This Row],[Midterm_Grade]]*40%)+(StudentData[[#This Row],[Final_Grade]]*60%)</f>
        <v>67.123999999999995</v>
      </c>
      <c r="L393">
        <f>StudentData[[#This Row],[Attendance_Percentage]]*40%+StudentData[[#This Row],[Assignments_Completed]]*2+StudentData[[#This Row],[Class_Participation]]*2+StudentData[[#This Row],[Projects_Submitted]]*4</f>
        <v>69.427999999999997</v>
      </c>
      <c r="M393">
        <f>StudentData[[#This Row],[Academic_Score]]*60%+StudentData[[#This Row],[Engagement_Score]]*30%+MIN(StudentData[[#This Row],[Study_Hours_per_Week]],20)/20*100*10%</f>
        <v>63.102799999999988</v>
      </c>
      <c r="N393" s="3" t="str" cm="1">
        <f t="array" ref="N393">_xlfn.IFS(StudentData[[#This Row],[Success_Score]]&gt;=85,"Exceptional",StudentData[[#This Row],[Success_Score]]&gt;=70,"Strong",StudentData[[#This Row],[Success_Score]]&gt;=55,"Developing",TRUE,"Needs Improvement")</f>
        <v>Developing</v>
      </c>
      <c r="O393" s="3" t="str">
        <f t="shared" si="12"/>
        <v>Low Risk</v>
      </c>
      <c r="P393" s="3" t="str">
        <f t="shared" si="13"/>
        <v>18-20</v>
      </c>
    </row>
    <row r="394" spans="1:16">
      <c r="A394" t="s">
        <v>428</v>
      </c>
      <c r="B394">
        <v>25</v>
      </c>
      <c r="C394" t="s">
        <v>4</v>
      </c>
      <c r="D394">
        <v>90</v>
      </c>
      <c r="E394">
        <v>7</v>
      </c>
      <c r="F394">
        <v>4.03</v>
      </c>
      <c r="G394">
        <v>31.33</v>
      </c>
      <c r="H394">
        <v>66.180000000000007</v>
      </c>
      <c r="I394">
        <v>6</v>
      </c>
      <c r="J394">
        <v>5</v>
      </c>
      <c r="K394">
        <f>(StudentData[[#This Row],[Midterm_Grade]]*40%)+(StudentData[[#This Row],[Final_Grade]]*60%)</f>
        <v>52.240000000000009</v>
      </c>
      <c r="L394">
        <f>StudentData[[#This Row],[Attendance_Percentage]]*40%+StudentData[[#This Row],[Assignments_Completed]]*2+StudentData[[#This Row],[Class_Participation]]*2+StudentData[[#This Row],[Projects_Submitted]]*4</f>
        <v>78.06</v>
      </c>
      <c r="M394">
        <f>StudentData[[#This Row],[Academic_Score]]*60%+StudentData[[#This Row],[Engagement_Score]]*30%+MIN(StudentData[[#This Row],[Study_Hours_per_Week]],20)/20*100*10%</f>
        <v>57.762</v>
      </c>
      <c r="N394" s="3" t="str" cm="1">
        <f t="array" ref="N394">_xlfn.IFS(StudentData[[#This Row],[Success_Score]]&gt;=85,"Exceptional",StudentData[[#This Row],[Success_Score]]&gt;=70,"Strong",StudentData[[#This Row],[Success_Score]]&gt;=55,"Developing",TRUE,"Needs Improvement")</f>
        <v>Developing</v>
      </c>
      <c r="O394" s="3" t="str">
        <f t="shared" si="12"/>
        <v>Medium Risk</v>
      </c>
      <c r="P394" s="3" t="str">
        <f t="shared" si="13"/>
        <v>24-25</v>
      </c>
    </row>
    <row r="395" spans="1:16">
      <c r="A395" t="s">
        <v>429</v>
      </c>
      <c r="B395">
        <v>25</v>
      </c>
      <c r="C395" t="s">
        <v>5</v>
      </c>
      <c r="D395">
        <v>60.2</v>
      </c>
      <c r="E395">
        <v>10</v>
      </c>
      <c r="F395">
        <v>9.6999999999999993</v>
      </c>
      <c r="G395">
        <v>63.61</v>
      </c>
      <c r="H395">
        <v>81.69</v>
      </c>
      <c r="I395">
        <v>15</v>
      </c>
      <c r="J395">
        <v>2</v>
      </c>
      <c r="K395">
        <f>(StudentData[[#This Row],[Midterm_Grade]]*40%)+(StudentData[[#This Row],[Final_Grade]]*60%)</f>
        <v>74.457999999999998</v>
      </c>
      <c r="L395">
        <f>StudentData[[#This Row],[Attendance_Percentage]]*40%+StudentData[[#This Row],[Assignments_Completed]]*2+StudentData[[#This Row],[Class_Participation]]*2+StudentData[[#This Row],[Projects_Submitted]]*4</f>
        <v>71.47999999999999</v>
      </c>
      <c r="M395">
        <f>StudentData[[#This Row],[Academic_Score]]*60%+StudentData[[#This Row],[Engagement_Score]]*30%+MIN(StudentData[[#This Row],[Study_Hours_per_Week]],20)/20*100*10%</f>
        <v>73.618799999999993</v>
      </c>
      <c r="N395" s="3" t="str" cm="1">
        <f t="array" ref="N395">_xlfn.IFS(StudentData[[#This Row],[Success_Score]]&gt;=85,"Exceptional",StudentData[[#This Row],[Success_Score]]&gt;=70,"Strong",StudentData[[#This Row],[Success_Score]]&gt;=55,"Developing",TRUE,"Needs Improvement")</f>
        <v>Strong</v>
      </c>
      <c r="O395" s="3" t="str">
        <f t="shared" si="12"/>
        <v>Medium Risk</v>
      </c>
      <c r="P395" s="3" t="str">
        <f t="shared" si="13"/>
        <v>24-25</v>
      </c>
    </row>
    <row r="396" spans="1:16">
      <c r="A396" t="s">
        <v>430</v>
      </c>
      <c r="B396">
        <v>20</v>
      </c>
      <c r="C396" t="s">
        <v>4</v>
      </c>
      <c r="D396">
        <v>77.75</v>
      </c>
      <c r="E396">
        <v>9</v>
      </c>
      <c r="F396">
        <v>9.32</v>
      </c>
      <c r="G396">
        <v>39.83</v>
      </c>
      <c r="H396">
        <v>74.95</v>
      </c>
      <c r="I396">
        <v>0</v>
      </c>
      <c r="J396">
        <v>1</v>
      </c>
      <c r="K396">
        <f>(StudentData[[#This Row],[Midterm_Grade]]*40%)+(StudentData[[#This Row],[Final_Grade]]*60%)</f>
        <v>60.902000000000001</v>
      </c>
      <c r="L396">
        <f>StudentData[[#This Row],[Attendance_Percentage]]*40%+StudentData[[#This Row],[Assignments_Completed]]*2+StudentData[[#This Row],[Class_Participation]]*2+StudentData[[#This Row],[Projects_Submitted]]*4</f>
        <v>71.740000000000009</v>
      </c>
      <c r="M396">
        <f>StudentData[[#This Row],[Academic_Score]]*60%+StudentData[[#This Row],[Engagement_Score]]*30%+MIN(StudentData[[#This Row],[Study_Hours_per_Week]],20)/20*100*10%</f>
        <v>58.063199999999995</v>
      </c>
      <c r="N396" s="3" t="str" cm="1">
        <f t="array" ref="N396">_xlfn.IFS(StudentData[[#This Row],[Success_Score]]&gt;=85,"Exceptional",StudentData[[#This Row],[Success_Score]]&gt;=70,"Strong",StudentData[[#This Row],[Success_Score]]&gt;=55,"Developing",TRUE,"Needs Improvement")</f>
        <v>Developing</v>
      </c>
      <c r="O396" s="3" t="str">
        <f t="shared" si="12"/>
        <v>Low Risk</v>
      </c>
      <c r="P396" s="3" t="str">
        <f t="shared" si="13"/>
        <v>18-20</v>
      </c>
    </row>
    <row r="397" spans="1:16">
      <c r="A397" t="s">
        <v>431</v>
      </c>
      <c r="B397">
        <v>21</v>
      </c>
      <c r="C397" t="s">
        <v>5</v>
      </c>
      <c r="D397">
        <v>86.65</v>
      </c>
      <c r="E397">
        <v>8</v>
      </c>
      <c r="F397">
        <v>7.42</v>
      </c>
      <c r="G397">
        <v>0.68</v>
      </c>
      <c r="H397">
        <v>69.95</v>
      </c>
      <c r="I397">
        <v>11</v>
      </c>
      <c r="J397">
        <v>0</v>
      </c>
      <c r="K397">
        <f>(StudentData[[#This Row],[Midterm_Grade]]*40%)+(StudentData[[#This Row],[Final_Grade]]*60%)</f>
        <v>42.241999999999997</v>
      </c>
      <c r="L397">
        <f>StudentData[[#This Row],[Attendance_Percentage]]*40%+StudentData[[#This Row],[Assignments_Completed]]*2+StudentData[[#This Row],[Class_Participation]]*2+StudentData[[#This Row],[Projects_Submitted]]*4</f>
        <v>65.5</v>
      </c>
      <c r="M397">
        <f>StudentData[[#This Row],[Academic_Score]]*60%+StudentData[[#This Row],[Engagement_Score]]*30%+MIN(StudentData[[#This Row],[Study_Hours_per_Week]],20)/20*100*10%</f>
        <v>50.495199999999997</v>
      </c>
      <c r="N397" s="3" t="str" cm="1">
        <f t="array" ref="N39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97" s="3" t="str">
        <f t="shared" si="12"/>
        <v>Medium Risk</v>
      </c>
      <c r="P397" s="3" t="str">
        <f t="shared" si="13"/>
        <v>21-23</v>
      </c>
    </row>
    <row r="398" spans="1:16">
      <c r="A398" t="s">
        <v>432</v>
      </c>
      <c r="B398">
        <v>25</v>
      </c>
      <c r="C398" t="s">
        <v>5</v>
      </c>
      <c r="D398">
        <v>80.8</v>
      </c>
      <c r="E398">
        <v>10</v>
      </c>
      <c r="F398">
        <v>2.79</v>
      </c>
      <c r="G398">
        <v>52.34</v>
      </c>
      <c r="H398">
        <v>30.69</v>
      </c>
      <c r="I398">
        <v>1</v>
      </c>
      <c r="J398">
        <v>3</v>
      </c>
      <c r="K398">
        <f>(StudentData[[#This Row],[Midterm_Grade]]*40%)+(StudentData[[#This Row],[Final_Grade]]*60%)</f>
        <v>39.350000000000009</v>
      </c>
      <c r="L398">
        <f>StudentData[[#This Row],[Attendance_Percentage]]*40%+StudentData[[#This Row],[Assignments_Completed]]*2+StudentData[[#This Row],[Class_Participation]]*2+StudentData[[#This Row],[Projects_Submitted]]*4</f>
        <v>69.900000000000006</v>
      </c>
      <c r="M398">
        <f>StudentData[[#This Row],[Academic_Score]]*60%+StudentData[[#This Row],[Engagement_Score]]*30%+MIN(StudentData[[#This Row],[Study_Hours_per_Week]],20)/20*100*10%</f>
        <v>45.080000000000005</v>
      </c>
      <c r="N398" s="3" t="str" cm="1">
        <f t="array" ref="N39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98" s="3" t="str">
        <f t="shared" si="12"/>
        <v>Medium Risk</v>
      </c>
      <c r="P398" s="3" t="str">
        <f t="shared" si="13"/>
        <v>24-25</v>
      </c>
    </row>
    <row r="399" spans="1:16">
      <c r="A399" t="s">
        <v>433</v>
      </c>
      <c r="B399">
        <v>23</v>
      </c>
      <c r="C399" t="s">
        <v>4</v>
      </c>
      <c r="D399">
        <v>59.4</v>
      </c>
      <c r="E399">
        <v>4</v>
      </c>
      <c r="F399">
        <v>1.32</v>
      </c>
      <c r="G399">
        <v>92.15</v>
      </c>
      <c r="H399">
        <v>5.71</v>
      </c>
      <c r="I399">
        <v>6</v>
      </c>
      <c r="J399">
        <v>4</v>
      </c>
      <c r="K399">
        <f>(StudentData[[#This Row],[Midterm_Grade]]*40%)+(StudentData[[#This Row],[Final_Grade]]*60%)</f>
        <v>40.286000000000008</v>
      </c>
      <c r="L399">
        <f>StudentData[[#This Row],[Attendance_Percentage]]*40%+StudentData[[#This Row],[Assignments_Completed]]*2+StudentData[[#This Row],[Class_Participation]]*2+StudentData[[#This Row],[Projects_Submitted]]*4</f>
        <v>50.4</v>
      </c>
      <c r="M399">
        <f>StudentData[[#This Row],[Academic_Score]]*60%+StudentData[[#This Row],[Engagement_Score]]*30%+MIN(StudentData[[#This Row],[Study_Hours_per_Week]],20)/20*100*10%</f>
        <v>42.291600000000003</v>
      </c>
      <c r="N399" s="3" t="str" cm="1">
        <f t="array" ref="N39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399" s="3" t="str">
        <f t="shared" si="12"/>
        <v>High Risk</v>
      </c>
      <c r="P399" s="3" t="str">
        <f t="shared" si="13"/>
        <v>21-23</v>
      </c>
    </row>
    <row r="400" spans="1:16">
      <c r="A400" t="s">
        <v>434</v>
      </c>
      <c r="B400">
        <v>25</v>
      </c>
      <c r="C400" t="s">
        <v>5</v>
      </c>
      <c r="D400">
        <v>67.77</v>
      </c>
      <c r="E400">
        <v>8</v>
      </c>
      <c r="F400">
        <v>8.5500000000000007</v>
      </c>
      <c r="G400">
        <v>81.209999999999994</v>
      </c>
      <c r="H400">
        <v>34.31</v>
      </c>
      <c r="I400">
        <v>10</v>
      </c>
      <c r="J400">
        <v>0</v>
      </c>
      <c r="K400">
        <f>(StudentData[[#This Row],[Midterm_Grade]]*40%)+(StudentData[[#This Row],[Final_Grade]]*60%)</f>
        <v>53.070000000000007</v>
      </c>
      <c r="L400">
        <f>StudentData[[#This Row],[Attendance_Percentage]]*40%+StudentData[[#This Row],[Assignments_Completed]]*2+StudentData[[#This Row],[Class_Participation]]*2+StudentData[[#This Row],[Projects_Submitted]]*4</f>
        <v>60.208000000000006</v>
      </c>
      <c r="M400">
        <f>StudentData[[#This Row],[Academic_Score]]*60%+StudentData[[#This Row],[Engagement_Score]]*30%+MIN(StudentData[[#This Row],[Study_Hours_per_Week]],20)/20*100*10%</f>
        <v>54.904400000000003</v>
      </c>
      <c r="N400" s="3" t="str" cm="1">
        <f t="array" ref="N40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00" s="3" t="str">
        <f t="shared" si="12"/>
        <v>Medium Risk</v>
      </c>
      <c r="P400" s="3" t="str">
        <f t="shared" si="13"/>
        <v>24-25</v>
      </c>
    </row>
    <row r="401" spans="1:16">
      <c r="A401" t="s">
        <v>435</v>
      </c>
      <c r="B401">
        <v>18</v>
      </c>
      <c r="C401" t="s">
        <v>5</v>
      </c>
      <c r="D401">
        <v>89.19</v>
      </c>
      <c r="E401">
        <v>1</v>
      </c>
      <c r="F401">
        <v>1.65</v>
      </c>
      <c r="G401">
        <v>82.52</v>
      </c>
      <c r="H401">
        <v>66.69</v>
      </c>
      <c r="I401">
        <v>12</v>
      </c>
      <c r="J401">
        <v>0</v>
      </c>
      <c r="K401">
        <f>(StudentData[[#This Row],[Midterm_Grade]]*40%)+(StudentData[[#This Row],[Final_Grade]]*60%)</f>
        <v>73.021999999999991</v>
      </c>
      <c r="L401">
        <f>StudentData[[#This Row],[Attendance_Percentage]]*40%+StudentData[[#This Row],[Assignments_Completed]]*2+StudentData[[#This Row],[Class_Participation]]*2+StudentData[[#This Row],[Projects_Submitted]]*4</f>
        <v>40.975999999999999</v>
      </c>
      <c r="M401">
        <f>StudentData[[#This Row],[Academic_Score]]*60%+StudentData[[#This Row],[Engagement_Score]]*30%+MIN(StudentData[[#This Row],[Study_Hours_per_Week]],20)/20*100*10%</f>
        <v>62.105999999999995</v>
      </c>
      <c r="N401" s="3" t="str" cm="1">
        <f t="array" ref="N401">_xlfn.IFS(StudentData[[#This Row],[Success_Score]]&gt;=85,"Exceptional",StudentData[[#This Row],[Success_Score]]&gt;=70,"Strong",StudentData[[#This Row],[Success_Score]]&gt;=55,"Developing",TRUE,"Needs Improvement")</f>
        <v>Developing</v>
      </c>
      <c r="O401" s="3" t="str">
        <f t="shared" si="12"/>
        <v>Low Risk</v>
      </c>
      <c r="P401" s="3" t="str">
        <f t="shared" si="13"/>
        <v>18-20</v>
      </c>
    </row>
    <row r="402" spans="1:16">
      <c r="A402" t="s">
        <v>436</v>
      </c>
      <c r="B402">
        <v>25</v>
      </c>
      <c r="C402" t="s">
        <v>5</v>
      </c>
      <c r="D402">
        <v>77.709999999999994</v>
      </c>
      <c r="E402">
        <v>2</v>
      </c>
      <c r="F402">
        <v>8.5399999999999991</v>
      </c>
      <c r="G402">
        <v>79.510000000000005</v>
      </c>
      <c r="H402">
        <v>10.25</v>
      </c>
      <c r="I402">
        <v>1</v>
      </c>
      <c r="J402">
        <v>2</v>
      </c>
      <c r="K402">
        <f>(StudentData[[#This Row],[Midterm_Grade]]*40%)+(StudentData[[#This Row],[Final_Grade]]*60%)</f>
        <v>37.954000000000001</v>
      </c>
      <c r="L402">
        <f>StudentData[[#This Row],[Attendance_Percentage]]*40%+StudentData[[#This Row],[Assignments_Completed]]*2+StudentData[[#This Row],[Class_Participation]]*2+StudentData[[#This Row],[Projects_Submitted]]*4</f>
        <v>60.164000000000001</v>
      </c>
      <c r="M402">
        <f>StudentData[[#This Row],[Academic_Score]]*60%+StudentData[[#This Row],[Engagement_Score]]*30%+MIN(StudentData[[#This Row],[Study_Hours_per_Week]],20)/20*100*10%</f>
        <v>41.321600000000004</v>
      </c>
      <c r="N402" s="3" t="str" cm="1">
        <f t="array" ref="N40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02" s="3" t="str">
        <f t="shared" si="12"/>
        <v>Medium Risk</v>
      </c>
      <c r="P402" s="3" t="str">
        <f t="shared" si="13"/>
        <v>24-25</v>
      </c>
    </row>
    <row r="403" spans="1:16">
      <c r="A403" t="s">
        <v>437</v>
      </c>
      <c r="B403">
        <v>21</v>
      </c>
      <c r="C403" t="s">
        <v>5</v>
      </c>
      <c r="D403">
        <v>50.26</v>
      </c>
      <c r="E403">
        <v>6</v>
      </c>
      <c r="F403">
        <v>4.91</v>
      </c>
      <c r="G403">
        <v>32.369999999999997</v>
      </c>
      <c r="H403">
        <v>1.19</v>
      </c>
      <c r="I403">
        <v>6</v>
      </c>
      <c r="J403">
        <v>1</v>
      </c>
      <c r="K403">
        <f>(StudentData[[#This Row],[Midterm_Grade]]*40%)+(StudentData[[#This Row],[Final_Grade]]*60%)</f>
        <v>13.662000000000001</v>
      </c>
      <c r="L403">
        <f>StudentData[[#This Row],[Attendance_Percentage]]*40%+StudentData[[#This Row],[Assignments_Completed]]*2+StudentData[[#This Row],[Class_Participation]]*2+StudentData[[#This Row],[Projects_Submitted]]*4</f>
        <v>45.923999999999999</v>
      </c>
      <c r="M403">
        <f>StudentData[[#This Row],[Academic_Score]]*60%+StudentData[[#This Row],[Engagement_Score]]*30%+MIN(StudentData[[#This Row],[Study_Hours_per_Week]],20)/20*100*10%</f>
        <v>24.974399999999999</v>
      </c>
      <c r="N403" s="3" t="str" cm="1">
        <f t="array" ref="N40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03" s="3" t="str">
        <f t="shared" si="12"/>
        <v>High Risk</v>
      </c>
      <c r="P403" s="3" t="str">
        <f t="shared" si="13"/>
        <v>21-23</v>
      </c>
    </row>
    <row r="404" spans="1:16">
      <c r="A404" t="s">
        <v>438</v>
      </c>
      <c r="B404">
        <v>20</v>
      </c>
      <c r="C404" t="s">
        <v>5</v>
      </c>
      <c r="D404">
        <v>88.05</v>
      </c>
      <c r="E404">
        <v>6</v>
      </c>
      <c r="F404">
        <v>4.07</v>
      </c>
      <c r="G404">
        <v>76.52</v>
      </c>
      <c r="H404">
        <v>13.97</v>
      </c>
      <c r="I404">
        <v>14</v>
      </c>
      <c r="J404">
        <v>5</v>
      </c>
      <c r="K404">
        <f>(StudentData[[#This Row],[Midterm_Grade]]*40%)+(StudentData[[#This Row],[Final_Grade]]*60%)</f>
        <v>38.99</v>
      </c>
      <c r="L404">
        <f>StudentData[[#This Row],[Attendance_Percentage]]*40%+StudentData[[#This Row],[Assignments_Completed]]*2+StudentData[[#This Row],[Class_Participation]]*2+StudentData[[#This Row],[Projects_Submitted]]*4</f>
        <v>75.36</v>
      </c>
      <c r="M404">
        <f>StudentData[[#This Row],[Academic_Score]]*60%+StudentData[[#This Row],[Engagement_Score]]*30%+MIN(StudentData[[#This Row],[Study_Hours_per_Week]],20)/20*100*10%</f>
        <v>53.002000000000002</v>
      </c>
      <c r="N404" s="3" t="str" cm="1">
        <f t="array" ref="N40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04" s="3" t="str">
        <f t="shared" si="12"/>
        <v>Medium Risk</v>
      </c>
      <c r="P404" s="3" t="str">
        <f t="shared" si="13"/>
        <v>18-20</v>
      </c>
    </row>
    <row r="405" spans="1:16">
      <c r="A405" t="s">
        <v>439</v>
      </c>
      <c r="B405">
        <v>18</v>
      </c>
      <c r="C405" t="s">
        <v>4</v>
      </c>
      <c r="D405">
        <v>51.77</v>
      </c>
      <c r="E405">
        <v>5</v>
      </c>
      <c r="F405">
        <v>9.0299999999999994</v>
      </c>
      <c r="G405">
        <v>14.32</v>
      </c>
      <c r="H405">
        <v>71.569999999999993</v>
      </c>
      <c r="I405">
        <v>10</v>
      </c>
      <c r="J405">
        <v>5</v>
      </c>
      <c r="K405">
        <f>(StudentData[[#This Row],[Midterm_Grade]]*40%)+(StudentData[[#This Row],[Final_Grade]]*60%)</f>
        <v>48.669999999999995</v>
      </c>
      <c r="L405">
        <f>StudentData[[#This Row],[Attendance_Percentage]]*40%+StudentData[[#This Row],[Assignments_Completed]]*2+StudentData[[#This Row],[Class_Participation]]*2+StudentData[[#This Row],[Projects_Submitted]]*4</f>
        <v>68.768000000000001</v>
      </c>
      <c r="M405">
        <f>StudentData[[#This Row],[Academic_Score]]*60%+StudentData[[#This Row],[Engagement_Score]]*30%+MIN(StudentData[[#This Row],[Study_Hours_per_Week]],20)/20*100*10%</f>
        <v>54.832399999999993</v>
      </c>
      <c r="N405" s="3" t="str" cm="1">
        <f t="array" ref="N40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05" s="3" t="str">
        <f t="shared" si="12"/>
        <v>High Risk</v>
      </c>
      <c r="P405" s="3" t="str">
        <f t="shared" si="13"/>
        <v>18-20</v>
      </c>
    </row>
    <row r="406" spans="1:16">
      <c r="A406" t="s">
        <v>440</v>
      </c>
      <c r="B406">
        <v>25</v>
      </c>
      <c r="C406" t="s">
        <v>5</v>
      </c>
      <c r="D406">
        <v>87.29</v>
      </c>
      <c r="E406">
        <v>5</v>
      </c>
      <c r="F406">
        <v>6.04</v>
      </c>
      <c r="G406">
        <v>65.77</v>
      </c>
      <c r="H406">
        <v>97.28</v>
      </c>
      <c r="I406">
        <v>1</v>
      </c>
      <c r="J406">
        <v>2</v>
      </c>
      <c r="K406">
        <f>(StudentData[[#This Row],[Midterm_Grade]]*40%)+(StudentData[[#This Row],[Final_Grade]]*60%)</f>
        <v>84.675999999999988</v>
      </c>
      <c r="L406">
        <f>StudentData[[#This Row],[Attendance_Percentage]]*40%+StudentData[[#This Row],[Assignments_Completed]]*2+StudentData[[#This Row],[Class_Participation]]*2+StudentData[[#This Row],[Projects_Submitted]]*4</f>
        <v>64.996000000000009</v>
      </c>
      <c r="M406">
        <f>StudentData[[#This Row],[Academic_Score]]*60%+StudentData[[#This Row],[Engagement_Score]]*30%+MIN(StudentData[[#This Row],[Study_Hours_per_Week]],20)/20*100*10%</f>
        <v>70.804399999999987</v>
      </c>
      <c r="N406" s="3" t="str" cm="1">
        <f t="array" ref="N406">_xlfn.IFS(StudentData[[#This Row],[Success_Score]]&gt;=85,"Exceptional",StudentData[[#This Row],[Success_Score]]&gt;=70,"Strong",StudentData[[#This Row],[Success_Score]]&gt;=55,"Developing",TRUE,"Needs Improvement")</f>
        <v>Strong</v>
      </c>
      <c r="O406" s="3" t="str">
        <f t="shared" si="12"/>
        <v>Low Risk</v>
      </c>
      <c r="P406" s="3" t="str">
        <f t="shared" si="13"/>
        <v>24-25</v>
      </c>
    </row>
    <row r="407" spans="1:16">
      <c r="A407" t="s">
        <v>441</v>
      </c>
      <c r="B407">
        <v>21</v>
      </c>
      <c r="C407" t="s">
        <v>4</v>
      </c>
      <c r="D407">
        <v>60.12</v>
      </c>
      <c r="E407">
        <v>1</v>
      </c>
      <c r="F407">
        <v>5.77</v>
      </c>
      <c r="G407">
        <v>64.16</v>
      </c>
      <c r="H407">
        <v>98.31</v>
      </c>
      <c r="I407">
        <v>6</v>
      </c>
      <c r="J407">
        <v>1</v>
      </c>
      <c r="K407">
        <f>(StudentData[[#This Row],[Midterm_Grade]]*40%)+(StudentData[[#This Row],[Final_Grade]]*60%)</f>
        <v>84.65</v>
      </c>
      <c r="L407">
        <f>StudentData[[#This Row],[Attendance_Percentage]]*40%+StudentData[[#This Row],[Assignments_Completed]]*2+StudentData[[#This Row],[Class_Participation]]*2+StudentData[[#This Row],[Projects_Submitted]]*4</f>
        <v>41.588000000000001</v>
      </c>
      <c r="M407">
        <f>StudentData[[#This Row],[Academic_Score]]*60%+StudentData[[#This Row],[Engagement_Score]]*30%+MIN(StudentData[[#This Row],[Study_Hours_per_Week]],20)/20*100*10%</f>
        <v>66.266400000000004</v>
      </c>
      <c r="N407" s="3" t="str" cm="1">
        <f t="array" ref="N407">_xlfn.IFS(StudentData[[#This Row],[Success_Score]]&gt;=85,"Exceptional",StudentData[[#This Row],[Success_Score]]&gt;=70,"Strong",StudentData[[#This Row],[Success_Score]]&gt;=55,"Developing",TRUE,"Needs Improvement")</f>
        <v>Developing</v>
      </c>
      <c r="O407" s="3" t="str">
        <f t="shared" si="12"/>
        <v>Medium Risk</v>
      </c>
      <c r="P407" s="3" t="str">
        <f t="shared" si="13"/>
        <v>21-23</v>
      </c>
    </row>
    <row r="408" spans="1:16">
      <c r="A408" t="s">
        <v>442</v>
      </c>
      <c r="B408">
        <v>23</v>
      </c>
      <c r="C408" t="s">
        <v>4</v>
      </c>
      <c r="D408">
        <v>97.9</v>
      </c>
      <c r="E408">
        <v>9</v>
      </c>
      <c r="F408">
        <v>5.59</v>
      </c>
      <c r="G408">
        <v>2.56</v>
      </c>
      <c r="H408">
        <v>49.4</v>
      </c>
      <c r="I408">
        <v>3</v>
      </c>
      <c r="J408">
        <v>2</v>
      </c>
      <c r="K408">
        <f>(StudentData[[#This Row],[Midterm_Grade]]*40%)+(StudentData[[#This Row],[Final_Grade]]*60%)</f>
        <v>30.663999999999998</v>
      </c>
      <c r="L408">
        <f>StudentData[[#This Row],[Attendance_Percentage]]*40%+StudentData[[#This Row],[Assignments_Completed]]*2+StudentData[[#This Row],[Class_Participation]]*2+StudentData[[#This Row],[Projects_Submitted]]*4</f>
        <v>76.34</v>
      </c>
      <c r="M408">
        <f>StudentData[[#This Row],[Academic_Score]]*60%+StudentData[[#This Row],[Engagement_Score]]*30%+MIN(StudentData[[#This Row],[Study_Hours_per_Week]],20)/20*100*10%</f>
        <v>42.800399999999996</v>
      </c>
      <c r="N408" s="3" t="str" cm="1">
        <f t="array" ref="N40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08" s="3" t="str">
        <f t="shared" si="12"/>
        <v>Medium Risk</v>
      </c>
      <c r="P408" s="3" t="str">
        <f t="shared" si="13"/>
        <v>21-23</v>
      </c>
    </row>
    <row r="409" spans="1:16">
      <c r="A409" t="s">
        <v>443</v>
      </c>
      <c r="B409">
        <v>25</v>
      </c>
      <c r="C409" t="s">
        <v>5</v>
      </c>
      <c r="D409">
        <v>68.400000000000006</v>
      </c>
      <c r="E409">
        <v>5</v>
      </c>
      <c r="F409">
        <v>3.71</v>
      </c>
      <c r="G409">
        <v>78.8</v>
      </c>
      <c r="H409">
        <v>86.94</v>
      </c>
      <c r="I409">
        <v>10</v>
      </c>
      <c r="J409">
        <v>5</v>
      </c>
      <c r="K409">
        <f>(StudentData[[#This Row],[Midterm_Grade]]*40%)+(StudentData[[#This Row],[Final_Grade]]*60%)</f>
        <v>83.683999999999997</v>
      </c>
      <c r="L409">
        <f>StudentData[[#This Row],[Attendance_Percentage]]*40%+StudentData[[#This Row],[Assignments_Completed]]*2+StudentData[[#This Row],[Class_Participation]]*2+StudentData[[#This Row],[Projects_Submitted]]*4</f>
        <v>64.78</v>
      </c>
      <c r="M409">
        <f>StudentData[[#This Row],[Academic_Score]]*60%+StudentData[[#This Row],[Engagement_Score]]*30%+MIN(StudentData[[#This Row],[Study_Hours_per_Week]],20)/20*100*10%</f>
        <v>74.644400000000005</v>
      </c>
      <c r="N409" s="3" t="str" cm="1">
        <f t="array" ref="N409">_xlfn.IFS(StudentData[[#This Row],[Success_Score]]&gt;=85,"Exceptional",StudentData[[#This Row],[Success_Score]]&gt;=70,"Strong",StudentData[[#This Row],[Success_Score]]&gt;=55,"Developing",TRUE,"Needs Improvement")</f>
        <v>Strong</v>
      </c>
      <c r="O409" s="3" t="str">
        <f t="shared" si="12"/>
        <v>Medium Risk</v>
      </c>
      <c r="P409" s="3" t="str">
        <f t="shared" si="13"/>
        <v>24-25</v>
      </c>
    </row>
    <row r="410" spans="1:16">
      <c r="A410" t="s">
        <v>444</v>
      </c>
      <c r="B410">
        <v>21</v>
      </c>
      <c r="C410" t="s">
        <v>5</v>
      </c>
      <c r="D410">
        <v>66.349999999999994</v>
      </c>
      <c r="E410">
        <v>3</v>
      </c>
      <c r="F410">
        <v>7.86</v>
      </c>
      <c r="G410">
        <v>90.32</v>
      </c>
      <c r="H410">
        <v>73.680000000000007</v>
      </c>
      <c r="I410">
        <v>1</v>
      </c>
      <c r="J410">
        <v>0</v>
      </c>
      <c r="K410">
        <f>(StudentData[[#This Row],[Midterm_Grade]]*40%)+(StudentData[[#This Row],[Final_Grade]]*60%)</f>
        <v>80.336000000000013</v>
      </c>
      <c r="L410">
        <f>StudentData[[#This Row],[Attendance_Percentage]]*40%+StudentData[[#This Row],[Assignments_Completed]]*2+StudentData[[#This Row],[Class_Participation]]*2+StudentData[[#This Row],[Projects_Submitted]]*4</f>
        <v>48.26</v>
      </c>
      <c r="M410">
        <f>StudentData[[#This Row],[Academic_Score]]*60%+StudentData[[#This Row],[Engagement_Score]]*30%+MIN(StudentData[[#This Row],[Study_Hours_per_Week]],20)/20*100*10%</f>
        <v>63.179600000000008</v>
      </c>
      <c r="N410" s="3" t="str" cm="1">
        <f t="array" ref="N410">_xlfn.IFS(StudentData[[#This Row],[Success_Score]]&gt;=85,"Exceptional",StudentData[[#This Row],[Success_Score]]&gt;=70,"Strong",StudentData[[#This Row],[Success_Score]]&gt;=55,"Developing",TRUE,"Needs Improvement")</f>
        <v>Developing</v>
      </c>
      <c r="O410" s="3" t="str">
        <f t="shared" si="12"/>
        <v>Medium Risk</v>
      </c>
      <c r="P410" s="3" t="str">
        <f t="shared" si="13"/>
        <v>21-23</v>
      </c>
    </row>
    <row r="411" spans="1:16">
      <c r="A411" t="s">
        <v>445</v>
      </c>
      <c r="B411">
        <v>23</v>
      </c>
      <c r="C411" t="s">
        <v>5</v>
      </c>
      <c r="D411">
        <v>57.44</v>
      </c>
      <c r="E411">
        <v>2</v>
      </c>
      <c r="F411">
        <v>2.5299999999999998</v>
      </c>
      <c r="G411">
        <v>26.74</v>
      </c>
      <c r="H411">
        <v>50.1</v>
      </c>
      <c r="I411">
        <v>15</v>
      </c>
      <c r="J411">
        <v>3</v>
      </c>
      <c r="K411">
        <f>(StudentData[[#This Row],[Midterm_Grade]]*40%)+(StudentData[[#This Row],[Final_Grade]]*60%)</f>
        <v>40.756</v>
      </c>
      <c r="L411">
        <f>StudentData[[#This Row],[Attendance_Percentage]]*40%+StudentData[[#This Row],[Assignments_Completed]]*2+StudentData[[#This Row],[Class_Participation]]*2+StudentData[[#This Row],[Projects_Submitted]]*4</f>
        <v>44.036000000000001</v>
      </c>
      <c r="M411">
        <f>StudentData[[#This Row],[Academic_Score]]*60%+StudentData[[#This Row],[Engagement_Score]]*30%+MIN(StudentData[[#This Row],[Study_Hours_per_Week]],20)/20*100*10%</f>
        <v>45.164400000000001</v>
      </c>
      <c r="N411" s="3" t="str" cm="1">
        <f t="array" ref="N41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11" s="3" t="str">
        <f t="shared" si="12"/>
        <v>High Risk</v>
      </c>
      <c r="P411" s="3" t="str">
        <f t="shared" si="13"/>
        <v>21-23</v>
      </c>
    </row>
    <row r="412" spans="1:16">
      <c r="A412" t="s">
        <v>446</v>
      </c>
      <c r="B412">
        <v>20</v>
      </c>
      <c r="C412" t="s">
        <v>4</v>
      </c>
      <c r="D412">
        <v>65.28</v>
      </c>
      <c r="E412">
        <v>10</v>
      </c>
      <c r="F412">
        <v>9.39</v>
      </c>
      <c r="G412">
        <v>81.239999999999995</v>
      </c>
      <c r="H412">
        <v>57.28</v>
      </c>
      <c r="I412">
        <v>6</v>
      </c>
      <c r="J412">
        <v>1</v>
      </c>
      <c r="K412">
        <f>(StudentData[[#This Row],[Midterm_Grade]]*40%)+(StudentData[[#This Row],[Final_Grade]]*60%)</f>
        <v>66.864000000000004</v>
      </c>
      <c r="L412">
        <f>StudentData[[#This Row],[Attendance_Percentage]]*40%+StudentData[[#This Row],[Assignments_Completed]]*2+StudentData[[#This Row],[Class_Participation]]*2+StudentData[[#This Row],[Projects_Submitted]]*4</f>
        <v>68.891999999999996</v>
      </c>
      <c r="M412">
        <f>StudentData[[#This Row],[Academic_Score]]*60%+StudentData[[#This Row],[Engagement_Score]]*30%+MIN(StudentData[[#This Row],[Study_Hours_per_Week]],20)/20*100*10%</f>
        <v>63.786000000000001</v>
      </c>
      <c r="N412" s="3" t="str" cm="1">
        <f t="array" ref="N412">_xlfn.IFS(StudentData[[#This Row],[Success_Score]]&gt;=85,"Exceptional",StudentData[[#This Row],[Success_Score]]&gt;=70,"Strong",StudentData[[#This Row],[Success_Score]]&gt;=55,"Developing",TRUE,"Needs Improvement")</f>
        <v>Developing</v>
      </c>
      <c r="O412" s="3" t="str">
        <f t="shared" si="12"/>
        <v>Medium Risk</v>
      </c>
      <c r="P412" s="3" t="str">
        <f t="shared" si="13"/>
        <v>18-20</v>
      </c>
    </row>
    <row r="413" spans="1:16">
      <c r="A413" t="s">
        <v>447</v>
      </c>
      <c r="B413">
        <v>25</v>
      </c>
      <c r="C413" t="s">
        <v>5</v>
      </c>
      <c r="D413">
        <v>93.83</v>
      </c>
      <c r="E413">
        <v>1</v>
      </c>
      <c r="F413">
        <v>8.94</v>
      </c>
      <c r="G413">
        <v>8.24</v>
      </c>
      <c r="H413">
        <v>13.72</v>
      </c>
      <c r="I413">
        <v>12</v>
      </c>
      <c r="J413">
        <v>4</v>
      </c>
      <c r="K413">
        <f>(StudentData[[#This Row],[Midterm_Grade]]*40%)+(StudentData[[#This Row],[Final_Grade]]*60%)</f>
        <v>11.527999999999999</v>
      </c>
      <c r="L413">
        <f>StudentData[[#This Row],[Attendance_Percentage]]*40%+StudentData[[#This Row],[Assignments_Completed]]*2+StudentData[[#This Row],[Class_Participation]]*2+StudentData[[#This Row],[Projects_Submitted]]*4</f>
        <v>73.412000000000006</v>
      </c>
      <c r="M413">
        <f>StudentData[[#This Row],[Academic_Score]]*60%+StudentData[[#This Row],[Engagement_Score]]*30%+MIN(StudentData[[#This Row],[Study_Hours_per_Week]],20)/20*100*10%</f>
        <v>34.940399999999997</v>
      </c>
      <c r="N413" s="3" t="str" cm="1">
        <f t="array" ref="N41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13" s="3" t="str">
        <f t="shared" si="12"/>
        <v>Medium Risk</v>
      </c>
      <c r="P413" s="3" t="str">
        <f t="shared" si="13"/>
        <v>24-25</v>
      </c>
    </row>
    <row r="414" spans="1:16">
      <c r="A414" t="s">
        <v>448</v>
      </c>
      <c r="B414">
        <v>23</v>
      </c>
      <c r="C414" t="s">
        <v>4</v>
      </c>
      <c r="D414">
        <v>99.82</v>
      </c>
      <c r="E414">
        <v>0</v>
      </c>
      <c r="F414">
        <v>3.37</v>
      </c>
      <c r="G414">
        <v>60</v>
      </c>
      <c r="H414">
        <v>93.77</v>
      </c>
      <c r="I414">
        <v>4</v>
      </c>
      <c r="J414">
        <v>4</v>
      </c>
      <c r="K414">
        <f>(StudentData[[#This Row],[Midterm_Grade]]*40%)+(StudentData[[#This Row],[Final_Grade]]*60%)</f>
        <v>80.262</v>
      </c>
      <c r="L414">
        <f>StudentData[[#This Row],[Attendance_Percentage]]*40%+StudentData[[#This Row],[Assignments_Completed]]*2+StudentData[[#This Row],[Class_Participation]]*2+StudentData[[#This Row],[Projects_Submitted]]*4</f>
        <v>62.667999999999999</v>
      </c>
      <c r="M414">
        <f>StudentData[[#This Row],[Academic_Score]]*60%+StudentData[[#This Row],[Engagement_Score]]*30%+MIN(StudentData[[#This Row],[Study_Hours_per_Week]],20)/20*100*10%</f>
        <v>68.957599999999999</v>
      </c>
      <c r="N414" s="3" t="str" cm="1">
        <f t="array" ref="N414">_xlfn.IFS(StudentData[[#This Row],[Success_Score]]&gt;=85,"Exceptional",StudentData[[#This Row],[Success_Score]]&gt;=70,"Strong",StudentData[[#This Row],[Success_Score]]&gt;=55,"Developing",TRUE,"Needs Improvement")</f>
        <v>Developing</v>
      </c>
      <c r="O414" s="3" t="str">
        <f t="shared" si="12"/>
        <v>Low Risk</v>
      </c>
      <c r="P414" s="3" t="str">
        <f t="shared" si="13"/>
        <v>21-23</v>
      </c>
    </row>
    <row r="415" spans="1:16">
      <c r="A415" t="s">
        <v>449</v>
      </c>
      <c r="B415">
        <v>18</v>
      </c>
      <c r="C415" t="s">
        <v>5</v>
      </c>
      <c r="D415">
        <v>68.42</v>
      </c>
      <c r="E415">
        <v>10</v>
      </c>
      <c r="F415">
        <v>7.29</v>
      </c>
      <c r="G415">
        <v>48.56</v>
      </c>
      <c r="H415">
        <v>35.19</v>
      </c>
      <c r="I415">
        <v>16</v>
      </c>
      <c r="J415">
        <v>0</v>
      </c>
      <c r="K415">
        <f>(StudentData[[#This Row],[Midterm_Grade]]*40%)+(StudentData[[#This Row],[Final_Grade]]*60%)</f>
        <v>40.537999999999997</v>
      </c>
      <c r="L415">
        <f>StudentData[[#This Row],[Attendance_Percentage]]*40%+StudentData[[#This Row],[Assignments_Completed]]*2+StudentData[[#This Row],[Class_Participation]]*2+StudentData[[#This Row],[Projects_Submitted]]*4</f>
        <v>61.948</v>
      </c>
      <c r="M415">
        <f>StudentData[[#This Row],[Academic_Score]]*60%+StudentData[[#This Row],[Engagement_Score]]*30%+MIN(StudentData[[#This Row],[Study_Hours_per_Week]],20)/20*100*10%</f>
        <v>50.907199999999996</v>
      </c>
      <c r="N415" s="3" t="str" cm="1">
        <f t="array" ref="N41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15" s="3" t="str">
        <f t="shared" si="12"/>
        <v>Medium Risk</v>
      </c>
      <c r="P415" s="3" t="str">
        <f t="shared" si="13"/>
        <v>18-20</v>
      </c>
    </row>
    <row r="416" spans="1:16">
      <c r="A416" t="s">
        <v>450</v>
      </c>
      <c r="B416">
        <v>20</v>
      </c>
      <c r="C416" t="s">
        <v>4</v>
      </c>
      <c r="D416">
        <v>72.430000000000007</v>
      </c>
      <c r="E416">
        <v>10</v>
      </c>
      <c r="F416">
        <v>5.73</v>
      </c>
      <c r="G416">
        <v>54.59</v>
      </c>
      <c r="H416">
        <v>44.61</v>
      </c>
      <c r="I416">
        <v>11</v>
      </c>
      <c r="J416">
        <v>2</v>
      </c>
      <c r="K416">
        <f>(StudentData[[#This Row],[Midterm_Grade]]*40%)+(StudentData[[#This Row],[Final_Grade]]*60%)</f>
        <v>48.602000000000004</v>
      </c>
      <c r="L416">
        <f>StudentData[[#This Row],[Attendance_Percentage]]*40%+StudentData[[#This Row],[Assignments_Completed]]*2+StudentData[[#This Row],[Class_Participation]]*2+StudentData[[#This Row],[Projects_Submitted]]*4</f>
        <v>68.432000000000016</v>
      </c>
      <c r="M416">
        <f>StudentData[[#This Row],[Academic_Score]]*60%+StudentData[[#This Row],[Engagement_Score]]*30%+MIN(StudentData[[#This Row],[Study_Hours_per_Week]],20)/20*100*10%</f>
        <v>55.19080000000001</v>
      </c>
      <c r="N416" s="3" t="str" cm="1">
        <f t="array" ref="N416">_xlfn.IFS(StudentData[[#This Row],[Success_Score]]&gt;=85,"Exceptional",StudentData[[#This Row],[Success_Score]]&gt;=70,"Strong",StudentData[[#This Row],[Success_Score]]&gt;=55,"Developing",TRUE,"Needs Improvement")</f>
        <v>Developing</v>
      </c>
      <c r="O416" s="3" t="str">
        <f t="shared" si="12"/>
        <v>Medium Risk</v>
      </c>
      <c r="P416" s="3" t="str">
        <f t="shared" si="13"/>
        <v>18-20</v>
      </c>
    </row>
    <row r="417" spans="1:16">
      <c r="A417" t="s">
        <v>451</v>
      </c>
      <c r="B417">
        <v>18</v>
      </c>
      <c r="C417" t="s">
        <v>5</v>
      </c>
      <c r="D417">
        <v>86.1</v>
      </c>
      <c r="E417">
        <v>4</v>
      </c>
      <c r="F417">
        <v>3.38</v>
      </c>
      <c r="G417">
        <v>92.62</v>
      </c>
      <c r="H417">
        <v>67.17</v>
      </c>
      <c r="I417">
        <v>18</v>
      </c>
      <c r="J417">
        <v>2</v>
      </c>
      <c r="K417">
        <f>(StudentData[[#This Row],[Midterm_Grade]]*40%)+(StudentData[[#This Row],[Final_Grade]]*60%)</f>
        <v>77.349999999999994</v>
      </c>
      <c r="L417">
        <f>StudentData[[#This Row],[Attendance_Percentage]]*40%+StudentData[[#This Row],[Assignments_Completed]]*2+StudentData[[#This Row],[Class_Participation]]*2+StudentData[[#This Row],[Projects_Submitted]]*4</f>
        <v>57.199999999999996</v>
      </c>
      <c r="M417">
        <f>StudentData[[#This Row],[Academic_Score]]*60%+StudentData[[#This Row],[Engagement_Score]]*30%+MIN(StudentData[[#This Row],[Study_Hours_per_Week]],20)/20*100*10%</f>
        <v>72.569999999999993</v>
      </c>
      <c r="N417" s="3" t="str" cm="1">
        <f t="array" ref="N417">_xlfn.IFS(StudentData[[#This Row],[Success_Score]]&gt;=85,"Exceptional",StudentData[[#This Row],[Success_Score]]&gt;=70,"Strong",StudentData[[#This Row],[Success_Score]]&gt;=55,"Developing",TRUE,"Needs Improvement")</f>
        <v>Strong</v>
      </c>
      <c r="O417" s="3" t="str">
        <f t="shared" si="12"/>
        <v>Low Risk</v>
      </c>
      <c r="P417" s="3" t="str">
        <f t="shared" si="13"/>
        <v>18-20</v>
      </c>
    </row>
    <row r="418" spans="1:16">
      <c r="A418" t="s">
        <v>452</v>
      </c>
      <c r="B418">
        <v>22</v>
      </c>
      <c r="C418" t="s">
        <v>5</v>
      </c>
      <c r="D418">
        <v>94.31</v>
      </c>
      <c r="E418">
        <v>1</v>
      </c>
      <c r="F418">
        <v>9.89</v>
      </c>
      <c r="G418">
        <v>87.13</v>
      </c>
      <c r="H418">
        <v>33.39</v>
      </c>
      <c r="I418">
        <v>6</v>
      </c>
      <c r="J418">
        <v>5</v>
      </c>
      <c r="K418">
        <f>(StudentData[[#This Row],[Midterm_Grade]]*40%)+(StudentData[[#This Row],[Final_Grade]]*60%)</f>
        <v>54.885999999999996</v>
      </c>
      <c r="L418">
        <f>StudentData[[#This Row],[Attendance_Percentage]]*40%+StudentData[[#This Row],[Assignments_Completed]]*2+StudentData[[#This Row],[Class_Participation]]*2+StudentData[[#This Row],[Projects_Submitted]]*4</f>
        <v>79.504000000000005</v>
      </c>
      <c r="M418">
        <f>StudentData[[#This Row],[Academic_Score]]*60%+StudentData[[#This Row],[Engagement_Score]]*30%+MIN(StudentData[[#This Row],[Study_Hours_per_Week]],20)/20*100*10%</f>
        <v>59.782799999999995</v>
      </c>
      <c r="N418" s="3" t="str" cm="1">
        <f t="array" ref="N418">_xlfn.IFS(StudentData[[#This Row],[Success_Score]]&gt;=85,"Exceptional",StudentData[[#This Row],[Success_Score]]&gt;=70,"Strong",StudentData[[#This Row],[Success_Score]]&gt;=55,"Developing",TRUE,"Needs Improvement")</f>
        <v>Developing</v>
      </c>
      <c r="O418" s="3" t="str">
        <f t="shared" si="12"/>
        <v>Medium Risk</v>
      </c>
      <c r="P418" s="3" t="str">
        <f t="shared" si="13"/>
        <v>21-23</v>
      </c>
    </row>
    <row r="419" spans="1:16">
      <c r="A419" t="s">
        <v>453</v>
      </c>
      <c r="B419">
        <v>19</v>
      </c>
      <c r="C419" t="s">
        <v>6</v>
      </c>
      <c r="D419">
        <v>79.650000000000006</v>
      </c>
      <c r="E419">
        <v>1</v>
      </c>
      <c r="F419">
        <v>0.25</v>
      </c>
      <c r="G419">
        <v>78.510000000000005</v>
      </c>
      <c r="H419">
        <v>25.43</v>
      </c>
      <c r="I419">
        <v>5</v>
      </c>
      <c r="J419">
        <v>0</v>
      </c>
      <c r="K419">
        <f>(StudentData[[#This Row],[Midterm_Grade]]*40%)+(StudentData[[#This Row],[Final_Grade]]*60%)</f>
        <v>46.662000000000006</v>
      </c>
      <c r="L419">
        <f>StudentData[[#This Row],[Attendance_Percentage]]*40%+StudentData[[#This Row],[Assignments_Completed]]*2+StudentData[[#This Row],[Class_Participation]]*2+StudentData[[#This Row],[Projects_Submitted]]*4</f>
        <v>34.36</v>
      </c>
      <c r="M419">
        <f>StudentData[[#This Row],[Academic_Score]]*60%+StudentData[[#This Row],[Engagement_Score]]*30%+MIN(StudentData[[#This Row],[Study_Hours_per_Week]],20)/20*100*10%</f>
        <v>40.805199999999999</v>
      </c>
      <c r="N419" s="3" t="str" cm="1">
        <f t="array" ref="N41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19" s="3" t="str">
        <f t="shared" si="12"/>
        <v>Medium Risk</v>
      </c>
      <c r="P419" s="3" t="str">
        <f t="shared" si="13"/>
        <v>18-20</v>
      </c>
    </row>
    <row r="420" spans="1:16">
      <c r="A420" t="s">
        <v>454</v>
      </c>
      <c r="B420">
        <v>25</v>
      </c>
      <c r="C420" t="s">
        <v>4</v>
      </c>
      <c r="D420">
        <v>69.58</v>
      </c>
      <c r="E420">
        <v>6</v>
      </c>
      <c r="F420">
        <v>2.5299999999999998</v>
      </c>
      <c r="G420">
        <v>27.37</v>
      </c>
      <c r="H420">
        <v>63.1</v>
      </c>
      <c r="I420">
        <v>7</v>
      </c>
      <c r="J420">
        <v>5</v>
      </c>
      <c r="K420">
        <f>(StudentData[[#This Row],[Midterm_Grade]]*40%)+(StudentData[[#This Row],[Final_Grade]]*60%)</f>
        <v>48.808</v>
      </c>
      <c r="L420">
        <f>StudentData[[#This Row],[Attendance_Percentage]]*40%+StudentData[[#This Row],[Assignments_Completed]]*2+StudentData[[#This Row],[Class_Participation]]*2+StudentData[[#This Row],[Projects_Submitted]]*4</f>
        <v>64.891999999999996</v>
      </c>
      <c r="M420">
        <f>StudentData[[#This Row],[Academic_Score]]*60%+StudentData[[#This Row],[Engagement_Score]]*30%+MIN(StudentData[[#This Row],[Study_Hours_per_Week]],20)/20*100*10%</f>
        <v>52.252399999999994</v>
      </c>
      <c r="N420" s="3" t="str" cm="1">
        <f t="array" ref="N42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20" s="3" t="str">
        <f t="shared" si="12"/>
        <v>Medium Risk</v>
      </c>
      <c r="P420" s="3" t="str">
        <f t="shared" si="13"/>
        <v>24-25</v>
      </c>
    </row>
    <row r="421" spans="1:16">
      <c r="A421" t="s">
        <v>455</v>
      </c>
      <c r="B421">
        <v>23</v>
      </c>
      <c r="C421" t="s">
        <v>5</v>
      </c>
      <c r="D421">
        <v>70.63</v>
      </c>
      <c r="E421">
        <v>7</v>
      </c>
      <c r="F421">
        <v>5.2</v>
      </c>
      <c r="G421">
        <v>91.18</v>
      </c>
      <c r="H421">
        <v>2.5</v>
      </c>
      <c r="I421">
        <v>12</v>
      </c>
      <c r="J421">
        <v>5</v>
      </c>
      <c r="K421">
        <f>(StudentData[[#This Row],[Midterm_Grade]]*40%)+(StudentData[[#This Row],[Final_Grade]]*60%)</f>
        <v>37.972000000000001</v>
      </c>
      <c r="L421">
        <f>StudentData[[#This Row],[Attendance_Percentage]]*40%+StudentData[[#This Row],[Assignments_Completed]]*2+StudentData[[#This Row],[Class_Participation]]*2+StudentData[[#This Row],[Projects_Submitted]]*4</f>
        <v>72.651999999999987</v>
      </c>
      <c r="M421">
        <f>StudentData[[#This Row],[Academic_Score]]*60%+StudentData[[#This Row],[Engagement_Score]]*30%+MIN(StudentData[[#This Row],[Study_Hours_per_Week]],20)/20*100*10%</f>
        <v>50.578800000000001</v>
      </c>
      <c r="N421" s="3" t="str" cm="1">
        <f t="array" ref="N42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21" s="3" t="str">
        <f t="shared" si="12"/>
        <v>Medium Risk</v>
      </c>
      <c r="P421" s="3" t="str">
        <f t="shared" si="13"/>
        <v>21-23</v>
      </c>
    </row>
    <row r="422" spans="1:16">
      <c r="A422" t="s">
        <v>456</v>
      </c>
      <c r="B422">
        <v>19</v>
      </c>
      <c r="C422" t="s">
        <v>4</v>
      </c>
      <c r="D422">
        <v>84.78</v>
      </c>
      <c r="E422">
        <v>9</v>
      </c>
      <c r="F422">
        <v>5.22</v>
      </c>
      <c r="G422">
        <v>9.75</v>
      </c>
      <c r="H422">
        <v>72.069999999999993</v>
      </c>
      <c r="I422">
        <v>4</v>
      </c>
      <c r="J422">
        <v>4</v>
      </c>
      <c r="K422">
        <f>(StudentData[[#This Row],[Midterm_Grade]]*40%)+(StudentData[[#This Row],[Final_Grade]]*60%)</f>
        <v>47.141999999999996</v>
      </c>
      <c r="L422">
        <f>StudentData[[#This Row],[Attendance_Percentage]]*40%+StudentData[[#This Row],[Assignments_Completed]]*2+StudentData[[#This Row],[Class_Participation]]*2+StudentData[[#This Row],[Projects_Submitted]]*4</f>
        <v>78.352000000000004</v>
      </c>
      <c r="M422">
        <f>StudentData[[#This Row],[Academic_Score]]*60%+StudentData[[#This Row],[Engagement_Score]]*30%+MIN(StudentData[[#This Row],[Study_Hours_per_Week]],20)/20*100*10%</f>
        <v>53.790799999999997</v>
      </c>
      <c r="N422" s="3" t="str" cm="1">
        <f t="array" ref="N42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22" s="3" t="str">
        <f t="shared" si="12"/>
        <v>Medium Risk</v>
      </c>
      <c r="P422" s="3" t="str">
        <f t="shared" si="13"/>
        <v>18-20</v>
      </c>
    </row>
    <row r="423" spans="1:16">
      <c r="A423" t="s">
        <v>457</v>
      </c>
      <c r="B423">
        <v>19</v>
      </c>
      <c r="C423" t="s">
        <v>4</v>
      </c>
      <c r="D423">
        <v>50.16</v>
      </c>
      <c r="E423">
        <v>7</v>
      </c>
      <c r="F423">
        <v>5.89</v>
      </c>
      <c r="G423">
        <v>85.33</v>
      </c>
      <c r="H423">
        <v>51.4</v>
      </c>
      <c r="I423">
        <v>1</v>
      </c>
      <c r="J423">
        <v>5</v>
      </c>
      <c r="K423">
        <f>(StudentData[[#This Row],[Midterm_Grade]]*40%)+(StudentData[[#This Row],[Final_Grade]]*60%)</f>
        <v>64.971999999999994</v>
      </c>
      <c r="L423">
        <f>StudentData[[#This Row],[Attendance_Percentage]]*40%+StudentData[[#This Row],[Assignments_Completed]]*2+StudentData[[#This Row],[Class_Participation]]*2+StudentData[[#This Row],[Projects_Submitted]]*4</f>
        <v>65.843999999999994</v>
      </c>
      <c r="M423">
        <f>StudentData[[#This Row],[Academic_Score]]*60%+StudentData[[#This Row],[Engagement_Score]]*30%+MIN(StudentData[[#This Row],[Study_Hours_per_Week]],20)/20*100*10%</f>
        <v>59.236399999999989</v>
      </c>
      <c r="N423" s="3" t="str" cm="1">
        <f t="array" ref="N423">_xlfn.IFS(StudentData[[#This Row],[Success_Score]]&gt;=85,"Exceptional",StudentData[[#This Row],[Success_Score]]&gt;=70,"Strong",StudentData[[#This Row],[Success_Score]]&gt;=55,"Developing",TRUE,"Needs Improvement")</f>
        <v>Developing</v>
      </c>
      <c r="O423" s="3" t="str">
        <f t="shared" si="12"/>
        <v>Medium Risk</v>
      </c>
      <c r="P423" s="3" t="str">
        <f t="shared" si="13"/>
        <v>18-20</v>
      </c>
    </row>
    <row r="424" spans="1:16">
      <c r="A424" t="s">
        <v>458</v>
      </c>
      <c r="B424">
        <v>23</v>
      </c>
      <c r="C424" t="s">
        <v>4</v>
      </c>
      <c r="D424">
        <v>80.98</v>
      </c>
      <c r="E424">
        <v>3</v>
      </c>
      <c r="F424">
        <v>7.52</v>
      </c>
      <c r="G424">
        <v>32.82</v>
      </c>
      <c r="H424">
        <v>60.58</v>
      </c>
      <c r="I424">
        <v>8</v>
      </c>
      <c r="J424">
        <v>5</v>
      </c>
      <c r="K424">
        <f>(StudentData[[#This Row],[Midterm_Grade]]*40%)+(StudentData[[#This Row],[Final_Grade]]*60%)</f>
        <v>49.475999999999999</v>
      </c>
      <c r="L424">
        <f>StudentData[[#This Row],[Attendance_Percentage]]*40%+StudentData[[#This Row],[Assignments_Completed]]*2+StudentData[[#This Row],[Class_Participation]]*2+StudentData[[#This Row],[Projects_Submitted]]*4</f>
        <v>73.432000000000002</v>
      </c>
      <c r="M424">
        <f>StudentData[[#This Row],[Academic_Score]]*60%+StudentData[[#This Row],[Engagement_Score]]*30%+MIN(StudentData[[#This Row],[Study_Hours_per_Week]],20)/20*100*10%</f>
        <v>55.715199999999996</v>
      </c>
      <c r="N424" s="3" t="str" cm="1">
        <f t="array" ref="N424">_xlfn.IFS(StudentData[[#This Row],[Success_Score]]&gt;=85,"Exceptional",StudentData[[#This Row],[Success_Score]]&gt;=70,"Strong",StudentData[[#This Row],[Success_Score]]&gt;=55,"Developing",TRUE,"Needs Improvement")</f>
        <v>Developing</v>
      </c>
      <c r="O424" s="3" t="str">
        <f t="shared" si="12"/>
        <v>Medium Risk</v>
      </c>
      <c r="P424" s="3" t="str">
        <f t="shared" si="13"/>
        <v>21-23</v>
      </c>
    </row>
    <row r="425" spans="1:16">
      <c r="A425" t="s">
        <v>459</v>
      </c>
      <c r="B425">
        <v>20</v>
      </c>
      <c r="C425" t="s">
        <v>4</v>
      </c>
      <c r="D425">
        <v>67.77</v>
      </c>
      <c r="E425">
        <v>0</v>
      </c>
      <c r="F425">
        <v>6.23</v>
      </c>
      <c r="G425">
        <v>5.38</v>
      </c>
      <c r="H425">
        <v>63.19</v>
      </c>
      <c r="I425">
        <v>10</v>
      </c>
      <c r="J425">
        <v>4</v>
      </c>
      <c r="K425">
        <f>(StudentData[[#This Row],[Midterm_Grade]]*40%)+(StudentData[[#This Row],[Final_Grade]]*60%)</f>
        <v>40.065999999999995</v>
      </c>
      <c r="L425">
        <f>StudentData[[#This Row],[Attendance_Percentage]]*40%+StudentData[[#This Row],[Assignments_Completed]]*2+StudentData[[#This Row],[Class_Participation]]*2+StudentData[[#This Row],[Projects_Submitted]]*4</f>
        <v>55.567999999999998</v>
      </c>
      <c r="M425">
        <f>StudentData[[#This Row],[Academic_Score]]*60%+StudentData[[#This Row],[Engagement_Score]]*30%+MIN(StudentData[[#This Row],[Study_Hours_per_Week]],20)/20*100*10%</f>
        <v>45.709999999999994</v>
      </c>
      <c r="N425" s="3" t="str" cm="1">
        <f t="array" ref="N42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25" s="3" t="str">
        <f t="shared" si="12"/>
        <v>Medium Risk</v>
      </c>
      <c r="P425" s="3" t="str">
        <f t="shared" si="13"/>
        <v>18-20</v>
      </c>
    </row>
    <row r="426" spans="1:16">
      <c r="A426" t="s">
        <v>460</v>
      </c>
      <c r="B426">
        <v>25</v>
      </c>
      <c r="C426" t="s">
        <v>5</v>
      </c>
      <c r="D426">
        <v>89.71</v>
      </c>
      <c r="E426">
        <v>10</v>
      </c>
      <c r="F426">
        <v>6</v>
      </c>
      <c r="G426">
        <v>66.94</v>
      </c>
      <c r="H426">
        <v>52.71</v>
      </c>
      <c r="I426">
        <v>5</v>
      </c>
      <c r="J426">
        <v>2</v>
      </c>
      <c r="K426">
        <f>(StudentData[[#This Row],[Midterm_Grade]]*40%)+(StudentData[[#This Row],[Final_Grade]]*60%)</f>
        <v>58.402000000000001</v>
      </c>
      <c r="L426">
        <f>StudentData[[#This Row],[Attendance_Percentage]]*40%+StudentData[[#This Row],[Assignments_Completed]]*2+StudentData[[#This Row],[Class_Participation]]*2+StudentData[[#This Row],[Projects_Submitted]]*4</f>
        <v>75.884</v>
      </c>
      <c r="M426">
        <f>StudentData[[#This Row],[Academic_Score]]*60%+StudentData[[#This Row],[Engagement_Score]]*30%+MIN(StudentData[[#This Row],[Study_Hours_per_Week]],20)/20*100*10%</f>
        <v>60.306399999999996</v>
      </c>
      <c r="N426" s="3" t="str" cm="1">
        <f t="array" ref="N426">_xlfn.IFS(StudentData[[#This Row],[Success_Score]]&gt;=85,"Exceptional",StudentData[[#This Row],[Success_Score]]&gt;=70,"Strong",StudentData[[#This Row],[Success_Score]]&gt;=55,"Developing",TRUE,"Needs Improvement")</f>
        <v>Developing</v>
      </c>
      <c r="O426" s="3" t="str">
        <f t="shared" si="12"/>
        <v>Medium Risk</v>
      </c>
      <c r="P426" s="3" t="str">
        <f t="shared" si="13"/>
        <v>24-25</v>
      </c>
    </row>
    <row r="427" spans="1:16">
      <c r="A427" t="s">
        <v>461</v>
      </c>
      <c r="B427">
        <v>22</v>
      </c>
      <c r="C427" t="s">
        <v>5</v>
      </c>
      <c r="D427">
        <v>54.65</v>
      </c>
      <c r="E427">
        <v>6</v>
      </c>
      <c r="F427">
        <v>0.54</v>
      </c>
      <c r="G427">
        <v>23.13</v>
      </c>
      <c r="H427">
        <v>58.25</v>
      </c>
      <c r="I427">
        <v>6</v>
      </c>
      <c r="J427">
        <v>1</v>
      </c>
      <c r="K427">
        <f>(StudentData[[#This Row],[Midterm_Grade]]*40%)+(StudentData[[#This Row],[Final_Grade]]*60%)</f>
        <v>44.201999999999998</v>
      </c>
      <c r="L427">
        <f>StudentData[[#This Row],[Attendance_Percentage]]*40%+StudentData[[#This Row],[Assignments_Completed]]*2+StudentData[[#This Row],[Class_Participation]]*2+StudentData[[#This Row],[Projects_Submitted]]*4</f>
        <v>38.94</v>
      </c>
      <c r="M427">
        <f>StudentData[[#This Row],[Academic_Score]]*60%+StudentData[[#This Row],[Engagement_Score]]*30%+MIN(StudentData[[#This Row],[Study_Hours_per_Week]],20)/20*100*10%</f>
        <v>41.203199999999995</v>
      </c>
      <c r="N427" s="3" t="str" cm="1">
        <f t="array" ref="N42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27" s="3" t="str">
        <f t="shared" si="12"/>
        <v>High Risk</v>
      </c>
      <c r="P427" s="3" t="str">
        <f t="shared" si="13"/>
        <v>21-23</v>
      </c>
    </row>
    <row r="428" spans="1:16">
      <c r="A428" t="s">
        <v>462</v>
      </c>
      <c r="B428">
        <v>18</v>
      </c>
      <c r="C428" t="s">
        <v>5</v>
      </c>
      <c r="D428">
        <v>79.41</v>
      </c>
      <c r="E428">
        <v>0</v>
      </c>
      <c r="F428">
        <v>3.77</v>
      </c>
      <c r="G428">
        <v>24.36</v>
      </c>
      <c r="H428">
        <v>68.38</v>
      </c>
      <c r="I428">
        <v>6</v>
      </c>
      <c r="J428">
        <v>3</v>
      </c>
      <c r="K428">
        <f>(StudentData[[#This Row],[Midterm_Grade]]*40%)+(StudentData[[#This Row],[Final_Grade]]*60%)</f>
        <v>50.771999999999998</v>
      </c>
      <c r="L428">
        <f>StudentData[[#This Row],[Attendance_Percentage]]*40%+StudentData[[#This Row],[Assignments_Completed]]*2+StudentData[[#This Row],[Class_Participation]]*2+StudentData[[#This Row],[Projects_Submitted]]*4</f>
        <v>51.304000000000002</v>
      </c>
      <c r="M428">
        <f>StudentData[[#This Row],[Academic_Score]]*60%+StudentData[[#This Row],[Engagement_Score]]*30%+MIN(StudentData[[#This Row],[Study_Hours_per_Week]],20)/20*100*10%</f>
        <v>48.854399999999998</v>
      </c>
      <c r="N428" s="3" t="str" cm="1">
        <f t="array" ref="N42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28" s="3" t="str">
        <f t="shared" si="12"/>
        <v>Medium Risk</v>
      </c>
      <c r="P428" s="3" t="str">
        <f t="shared" si="13"/>
        <v>18-20</v>
      </c>
    </row>
    <row r="429" spans="1:16">
      <c r="A429" t="s">
        <v>463</v>
      </c>
      <c r="B429">
        <v>21</v>
      </c>
      <c r="C429" t="s">
        <v>4</v>
      </c>
      <c r="D429">
        <v>74.05</v>
      </c>
      <c r="E429">
        <v>10</v>
      </c>
      <c r="F429">
        <v>2.3199999999999998</v>
      </c>
      <c r="G429">
        <v>30.6</v>
      </c>
      <c r="H429">
        <v>75.31</v>
      </c>
      <c r="I429">
        <v>18</v>
      </c>
      <c r="J429">
        <v>5</v>
      </c>
      <c r="K429">
        <f>(StudentData[[#This Row],[Midterm_Grade]]*40%)+(StudentData[[#This Row],[Final_Grade]]*60%)</f>
        <v>57.426000000000002</v>
      </c>
      <c r="L429">
        <f>StudentData[[#This Row],[Attendance_Percentage]]*40%+StudentData[[#This Row],[Assignments_Completed]]*2+StudentData[[#This Row],[Class_Participation]]*2+StudentData[[#This Row],[Projects_Submitted]]*4</f>
        <v>74.260000000000005</v>
      </c>
      <c r="M429">
        <f>StudentData[[#This Row],[Academic_Score]]*60%+StudentData[[#This Row],[Engagement_Score]]*30%+MIN(StudentData[[#This Row],[Study_Hours_per_Week]],20)/20*100*10%</f>
        <v>65.733599999999996</v>
      </c>
      <c r="N429" s="3" t="str" cm="1">
        <f t="array" ref="N429">_xlfn.IFS(StudentData[[#This Row],[Success_Score]]&gt;=85,"Exceptional",StudentData[[#This Row],[Success_Score]]&gt;=70,"Strong",StudentData[[#This Row],[Success_Score]]&gt;=55,"Developing",TRUE,"Needs Improvement")</f>
        <v>Developing</v>
      </c>
      <c r="O429" s="3" t="str">
        <f t="shared" si="12"/>
        <v>Medium Risk</v>
      </c>
      <c r="P429" s="3" t="str">
        <f t="shared" si="13"/>
        <v>21-23</v>
      </c>
    </row>
    <row r="430" spans="1:16">
      <c r="A430" t="s">
        <v>464</v>
      </c>
      <c r="B430">
        <v>18</v>
      </c>
      <c r="C430" t="s">
        <v>4</v>
      </c>
      <c r="D430">
        <v>82.12</v>
      </c>
      <c r="E430">
        <v>3</v>
      </c>
      <c r="F430">
        <v>2.65</v>
      </c>
      <c r="G430">
        <v>6.37</v>
      </c>
      <c r="H430">
        <v>72.75</v>
      </c>
      <c r="I430">
        <v>5</v>
      </c>
      <c r="J430">
        <v>1</v>
      </c>
      <c r="K430">
        <f>(StudentData[[#This Row],[Midterm_Grade]]*40%)+(StudentData[[#This Row],[Final_Grade]]*60%)</f>
        <v>46.198</v>
      </c>
      <c r="L430">
        <f>StudentData[[#This Row],[Attendance_Percentage]]*40%+StudentData[[#This Row],[Assignments_Completed]]*2+StudentData[[#This Row],[Class_Participation]]*2+StudentData[[#This Row],[Projects_Submitted]]*4</f>
        <v>48.148000000000003</v>
      </c>
      <c r="M430">
        <f>StudentData[[#This Row],[Academic_Score]]*60%+StudentData[[#This Row],[Engagement_Score]]*30%+MIN(StudentData[[#This Row],[Study_Hours_per_Week]],20)/20*100*10%</f>
        <v>44.663199999999996</v>
      </c>
      <c r="N430" s="3" t="str" cm="1">
        <f t="array" ref="N43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30" s="3" t="str">
        <f t="shared" si="12"/>
        <v>Medium Risk</v>
      </c>
      <c r="P430" s="3" t="str">
        <f t="shared" si="13"/>
        <v>18-20</v>
      </c>
    </row>
    <row r="431" spans="1:16">
      <c r="A431" t="s">
        <v>465</v>
      </c>
      <c r="B431">
        <v>21</v>
      </c>
      <c r="C431" t="s">
        <v>5</v>
      </c>
      <c r="D431">
        <v>53.24</v>
      </c>
      <c r="E431">
        <v>7</v>
      </c>
      <c r="F431">
        <v>5.54</v>
      </c>
      <c r="G431">
        <v>17.71</v>
      </c>
      <c r="H431">
        <v>86.96</v>
      </c>
      <c r="I431">
        <v>10</v>
      </c>
      <c r="J431">
        <v>4</v>
      </c>
      <c r="K431">
        <f>(StudentData[[#This Row],[Midterm_Grade]]*40%)+(StudentData[[#This Row],[Final_Grade]]*60%)</f>
        <v>59.26</v>
      </c>
      <c r="L431">
        <f>StudentData[[#This Row],[Attendance_Percentage]]*40%+StudentData[[#This Row],[Assignments_Completed]]*2+StudentData[[#This Row],[Class_Participation]]*2+StudentData[[#This Row],[Projects_Submitted]]*4</f>
        <v>62.376000000000005</v>
      </c>
      <c r="M431">
        <f>StudentData[[#This Row],[Academic_Score]]*60%+StudentData[[#This Row],[Engagement_Score]]*30%+MIN(StudentData[[#This Row],[Study_Hours_per_Week]],20)/20*100*10%</f>
        <v>59.268799999999999</v>
      </c>
      <c r="N431" s="3" t="str" cm="1">
        <f t="array" ref="N431">_xlfn.IFS(StudentData[[#This Row],[Success_Score]]&gt;=85,"Exceptional",StudentData[[#This Row],[Success_Score]]&gt;=70,"Strong",StudentData[[#This Row],[Success_Score]]&gt;=55,"Developing",TRUE,"Needs Improvement")</f>
        <v>Developing</v>
      </c>
      <c r="O431" s="3" t="str">
        <f t="shared" si="12"/>
        <v>Medium Risk</v>
      </c>
      <c r="P431" s="3" t="str">
        <f t="shared" si="13"/>
        <v>21-23</v>
      </c>
    </row>
    <row r="432" spans="1:16">
      <c r="A432" t="s">
        <v>466</v>
      </c>
      <c r="B432">
        <v>18</v>
      </c>
      <c r="C432" t="s">
        <v>5</v>
      </c>
      <c r="D432">
        <v>79</v>
      </c>
      <c r="E432">
        <v>1</v>
      </c>
      <c r="F432">
        <v>2</v>
      </c>
      <c r="G432">
        <v>0.51</v>
      </c>
      <c r="H432">
        <v>18.940000000000001</v>
      </c>
      <c r="I432">
        <v>10</v>
      </c>
      <c r="J432">
        <v>1</v>
      </c>
      <c r="K432">
        <f>(StudentData[[#This Row],[Midterm_Grade]]*40%)+(StudentData[[#This Row],[Final_Grade]]*60%)</f>
        <v>11.568000000000001</v>
      </c>
      <c r="L432">
        <f>StudentData[[#This Row],[Attendance_Percentage]]*40%+StudentData[[#This Row],[Assignments_Completed]]*2+StudentData[[#This Row],[Class_Participation]]*2+StudentData[[#This Row],[Projects_Submitted]]*4</f>
        <v>41.6</v>
      </c>
      <c r="M432">
        <f>StudentData[[#This Row],[Academic_Score]]*60%+StudentData[[#This Row],[Engagement_Score]]*30%+MIN(StudentData[[#This Row],[Study_Hours_per_Week]],20)/20*100*10%</f>
        <v>24.4208</v>
      </c>
      <c r="N432" s="3" t="str" cm="1">
        <f t="array" ref="N43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32" s="3" t="str">
        <f t="shared" si="12"/>
        <v>Medium Risk</v>
      </c>
      <c r="P432" s="3" t="str">
        <f t="shared" si="13"/>
        <v>18-20</v>
      </c>
    </row>
    <row r="433" spans="1:16">
      <c r="A433" t="s">
        <v>467</v>
      </c>
      <c r="B433">
        <v>23</v>
      </c>
      <c r="C433" t="s">
        <v>4</v>
      </c>
      <c r="D433">
        <v>78.069999999999993</v>
      </c>
      <c r="E433">
        <v>5</v>
      </c>
      <c r="F433">
        <v>2.94</v>
      </c>
      <c r="G433">
        <v>44.54</v>
      </c>
      <c r="H433">
        <v>40.11</v>
      </c>
      <c r="I433">
        <v>6</v>
      </c>
      <c r="J433">
        <v>3</v>
      </c>
      <c r="K433">
        <f>(StudentData[[#This Row],[Midterm_Grade]]*40%)+(StudentData[[#This Row],[Final_Grade]]*60%)</f>
        <v>41.881999999999998</v>
      </c>
      <c r="L433">
        <f>StudentData[[#This Row],[Attendance_Percentage]]*40%+StudentData[[#This Row],[Assignments_Completed]]*2+StudentData[[#This Row],[Class_Participation]]*2+StudentData[[#This Row],[Projects_Submitted]]*4</f>
        <v>59.107999999999997</v>
      </c>
      <c r="M433">
        <f>StudentData[[#This Row],[Academic_Score]]*60%+StudentData[[#This Row],[Engagement_Score]]*30%+MIN(StudentData[[#This Row],[Study_Hours_per_Week]],20)/20*100*10%</f>
        <v>45.861599999999996</v>
      </c>
      <c r="N433" s="3" t="str" cm="1">
        <f t="array" ref="N43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33" s="3" t="str">
        <f t="shared" si="12"/>
        <v>Medium Risk</v>
      </c>
      <c r="P433" s="3" t="str">
        <f t="shared" si="13"/>
        <v>21-23</v>
      </c>
    </row>
    <row r="434" spans="1:16">
      <c r="A434" t="s">
        <v>468</v>
      </c>
      <c r="B434">
        <v>22</v>
      </c>
      <c r="C434" t="s">
        <v>6</v>
      </c>
      <c r="D434">
        <v>78.03</v>
      </c>
      <c r="E434">
        <v>5</v>
      </c>
      <c r="F434">
        <v>2.37</v>
      </c>
      <c r="G434">
        <v>8.43</v>
      </c>
      <c r="H434">
        <v>94.78</v>
      </c>
      <c r="I434">
        <v>1</v>
      </c>
      <c r="J434">
        <v>1</v>
      </c>
      <c r="K434">
        <f>(StudentData[[#This Row],[Midterm_Grade]]*40%)+(StudentData[[#This Row],[Final_Grade]]*60%)</f>
        <v>60.24</v>
      </c>
      <c r="L434">
        <f>StudentData[[#This Row],[Attendance_Percentage]]*40%+StudentData[[#This Row],[Assignments_Completed]]*2+StudentData[[#This Row],[Class_Participation]]*2+StudentData[[#This Row],[Projects_Submitted]]*4</f>
        <v>49.952000000000005</v>
      </c>
      <c r="M434">
        <f>StudentData[[#This Row],[Academic_Score]]*60%+StudentData[[#This Row],[Engagement_Score]]*30%+MIN(StudentData[[#This Row],[Study_Hours_per_Week]],20)/20*100*10%</f>
        <v>51.629599999999996</v>
      </c>
      <c r="N434" s="3" t="str" cm="1">
        <f t="array" ref="N43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34" s="3" t="str">
        <f t="shared" si="12"/>
        <v>Low Risk</v>
      </c>
      <c r="P434" s="3" t="str">
        <f t="shared" si="13"/>
        <v>21-23</v>
      </c>
    </row>
    <row r="435" spans="1:16">
      <c r="A435" t="s">
        <v>469</v>
      </c>
      <c r="B435">
        <v>25</v>
      </c>
      <c r="C435" t="s">
        <v>4</v>
      </c>
      <c r="D435">
        <v>80.17</v>
      </c>
      <c r="E435">
        <v>8</v>
      </c>
      <c r="F435">
        <v>9.49</v>
      </c>
      <c r="G435">
        <v>68.27</v>
      </c>
      <c r="H435">
        <v>39.659999999999997</v>
      </c>
      <c r="I435">
        <v>18</v>
      </c>
      <c r="J435">
        <v>1</v>
      </c>
      <c r="K435">
        <f>(StudentData[[#This Row],[Midterm_Grade]]*40%)+(StudentData[[#This Row],[Final_Grade]]*60%)</f>
        <v>51.103999999999999</v>
      </c>
      <c r="L435">
        <f>StudentData[[#This Row],[Attendance_Percentage]]*40%+StudentData[[#This Row],[Assignments_Completed]]*2+StudentData[[#This Row],[Class_Participation]]*2+StudentData[[#This Row],[Projects_Submitted]]*4</f>
        <v>71.048000000000002</v>
      </c>
      <c r="M435">
        <f>StudentData[[#This Row],[Academic_Score]]*60%+StudentData[[#This Row],[Engagement_Score]]*30%+MIN(StudentData[[#This Row],[Study_Hours_per_Week]],20)/20*100*10%</f>
        <v>60.976799999999997</v>
      </c>
      <c r="N435" s="3" t="str" cm="1">
        <f t="array" ref="N435">_xlfn.IFS(StudentData[[#This Row],[Success_Score]]&gt;=85,"Exceptional",StudentData[[#This Row],[Success_Score]]&gt;=70,"Strong",StudentData[[#This Row],[Success_Score]]&gt;=55,"Developing",TRUE,"Needs Improvement")</f>
        <v>Developing</v>
      </c>
      <c r="O435" s="3" t="str">
        <f t="shared" si="12"/>
        <v>Medium Risk</v>
      </c>
      <c r="P435" s="3" t="str">
        <f t="shared" si="13"/>
        <v>24-25</v>
      </c>
    </row>
    <row r="436" spans="1:16">
      <c r="A436" t="s">
        <v>470</v>
      </c>
      <c r="B436">
        <v>21</v>
      </c>
      <c r="C436" t="s">
        <v>5</v>
      </c>
      <c r="D436">
        <v>83.82</v>
      </c>
      <c r="E436">
        <v>4</v>
      </c>
      <c r="F436">
        <v>9.4499999999999993</v>
      </c>
      <c r="G436">
        <v>23.56</v>
      </c>
      <c r="H436">
        <v>12.49</v>
      </c>
      <c r="I436">
        <v>3</v>
      </c>
      <c r="J436">
        <v>1</v>
      </c>
      <c r="K436">
        <f>(StudentData[[#This Row],[Midterm_Grade]]*40%)+(StudentData[[#This Row],[Final_Grade]]*60%)</f>
        <v>16.917999999999999</v>
      </c>
      <c r="L436">
        <f>StudentData[[#This Row],[Attendance_Percentage]]*40%+StudentData[[#This Row],[Assignments_Completed]]*2+StudentData[[#This Row],[Class_Participation]]*2+StudentData[[#This Row],[Projects_Submitted]]*4</f>
        <v>64.427999999999997</v>
      </c>
      <c r="M436">
        <f>StudentData[[#This Row],[Academic_Score]]*60%+StudentData[[#This Row],[Engagement_Score]]*30%+MIN(StudentData[[#This Row],[Study_Hours_per_Week]],20)/20*100*10%</f>
        <v>30.979199999999999</v>
      </c>
      <c r="N436" s="3" t="str" cm="1">
        <f t="array" ref="N43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36" s="3" t="str">
        <f t="shared" si="12"/>
        <v>Medium Risk</v>
      </c>
      <c r="P436" s="3" t="str">
        <f t="shared" si="13"/>
        <v>21-23</v>
      </c>
    </row>
    <row r="437" spans="1:16">
      <c r="A437" t="s">
        <v>471</v>
      </c>
      <c r="B437">
        <v>25</v>
      </c>
      <c r="C437" t="s">
        <v>5</v>
      </c>
      <c r="D437">
        <v>90.25</v>
      </c>
      <c r="E437">
        <v>9</v>
      </c>
      <c r="F437">
        <v>6.1</v>
      </c>
      <c r="G437">
        <v>94.36</v>
      </c>
      <c r="H437">
        <v>52.54</v>
      </c>
      <c r="I437">
        <v>5</v>
      </c>
      <c r="J437">
        <v>1</v>
      </c>
      <c r="K437">
        <f>(StudentData[[#This Row],[Midterm_Grade]]*40%)+(StudentData[[#This Row],[Final_Grade]]*60%)</f>
        <v>69.268000000000001</v>
      </c>
      <c r="L437">
        <f>StudentData[[#This Row],[Attendance_Percentage]]*40%+StudentData[[#This Row],[Assignments_Completed]]*2+StudentData[[#This Row],[Class_Participation]]*2+StudentData[[#This Row],[Projects_Submitted]]*4</f>
        <v>70.3</v>
      </c>
      <c r="M437">
        <f>StudentData[[#This Row],[Academic_Score]]*60%+StudentData[[#This Row],[Engagement_Score]]*30%+MIN(StudentData[[#This Row],[Study_Hours_per_Week]],20)/20*100*10%</f>
        <v>65.150800000000004</v>
      </c>
      <c r="N437" s="3" t="str" cm="1">
        <f t="array" ref="N437">_xlfn.IFS(StudentData[[#This Row],[Success_Score]]&gt;=85,"Exceptional",StudentData[[#This Row],[Success_Score]]&gt;=70,"Strong",StudentData[[#This Row],[Success_Score]]&gt;=55,"Developing",TRUE,"Needs Improvement")</f>
        <v>Developing</v>
      </c>
      <c r="O437" s="3" t="str">
        <f t="shared" si="12"/>
        <v>Low Risk</v>
      </c>
      <c r="P437" s="3" t="str">
        <f t="shared" si="13"/>
        <v>24-25</v>
      </c>
    </row>
    <row r="438" spans="1:16">
      <c r="A438" t="s">
        <v>472</v>
      </c>
      <c r="B438">
        <v>25</v>
      </c>
      <c r="C438" t="s">
        <v>5</v>
      </c>
      <c r="D438">
        <v>63.49</v>
      </c>
      <c r="E438">
        <v>3</v>
      </c>
      <c r="F438">
        <v>9.25</v>
      </c>
      <c r="G438">
        <v>87.13</v>
      </c>
      <c r="H438">
        <v>10.95</v>
      </c>
      <c r="I438">
        <v>16</v>
      </c>
      <c r="J438">
        <v>0</v>
      </c>
      <c r="K438">
        <f>(StudentData[[#This Row],[Midterm_Grade]]*40%)+(StudentData[[#This Row],[Final_Grade]]*60%)</f>
        <v>41.421999999999997</v>
      </c>
      <c r="L438">
        <f>StudentData[[#This Row],[Attendance_Percentage]]*40%+StudentData[[#This Row],[Assignments_Completed]]*2+StudentData[[#This Row],[Class_Participation]]*2+StudentData[[#This Row],[Projects_Submitted]]*4</f>
        <v>49.896000000000001</v>
      </c>
      <c r="M438">
        <f>StudentData[[#This Row],[Academic_Score]]*60%+StudentData[[#This Row],[Engagement_Score]]*30%+MIN(StudentData[[#This Row],[Study_Hours_per_Week]],20)/20*100*10%</f>
        <v>47.821999999999996</v>
      </c>
      <c r="N438" s="3" t="str" cm="1">
        <f t="array" ref="N43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38" s="3" t="str">
        <f t="shared" si="12"/>
        <v>Medium Risk</v>
      </c>
      <c r="P438" s="3" t="str">
        <f t="shared" si="13"/>
        <v>24-25</v>
      </c>
    </row>
    <row r="439" spans="1:16">
      <c r="A439" t="s">
        <v>473</v>
      </c>
      <c r="B439">
        <v>25</v>
      </c>
      <c r="C439" t="s">
        <v>6</v>
      </c>
      <c r="D439">
        <v>91.25</v>
      </c>
      <c r="E439">
        <v>4</v>
      </c>
      <c r="F439">
        <v>7.86</v>
      </c>
      <c r="G439">
        <v>28.94</v>
      </c>
      <c r="H439">
        <v>20.29</v>
      </c>
      <c r="I439">
        <v>4</v>
      </c>
      <c r="J439">
        <v>5</v>
      </c>
      <c r="K439">
        <f>(StudentData[[#This Row],[Midterm_Grade]]*40%)+(StudentData[[#This Row],[Final_Grade]]*60%)</f>
        <v>23.75</v>
      </c>
      <c r="L439">
        <f>StudentData[[#This Row],[Attendance_Percentage]]*40%+StudentData[[#This Row],[Assignments_Completed]]*2+StudentData[[#This Row],[Class_Participation]]*2+StudentData[[#This Row],[Projects_Submitted]]*4</f>
        <v>80.22</v>
      </c>
      <c r="M439">
        <f>StudentData[[#This Row],[Academic_Score]]*60%+StudentData[[#This Row],[Engagement_Score]]*30%+MIN(StudentData[[#This Row],[Study_Hours_per_Week]],20)/20*100*10%</f>
        <v>40.316000000000003</v>
      </c>
      <c r="N439" s="3" t="str" cm="1">
        <f t="array" ref="N43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39" s="3" t="str">
        <f t="shared" si="12"/>
        <v>Medium Risk</v>
      </c>
      <c r="P439" s="3" t="str">
        <f t="shared" si="13"/>
        <v>24-25</v>
      </c>
    </row>
    <row r="440" spans="1:16">
      <c r="A440" t="s">
        <v>474</v>
      </c>
      <c r="B440">
        <v>24</v>
      </c>
      <c r="C440" t="s">
        <v>5</v>
      </c>
      <c r="D440">
        <v>74.91</v>
      </c>
      <c r="E440">
        <v>9</v>
      </c>
      <c r="F440">
        <v>5.9</v>
      </c>
      <c r="G440">
        <v>78.319999999999993</v>
      </c>
      <c r="H440">
        <v>99.83</v>
      </c>
      <c r="I440">
        <v>6</v>
      </c>
      <c r="J440">
        <v>4</v>
      </c>
      <c r="K440">
        <f>(StudentData[[#This Row],[Midterm_Grade]]*40%)+(StudentData[[#This Row],[Final_Grade]]*60%)</f>
        <v>91.225999999999999</v>
      </c>
      <c r="L440">
        <f>StudentData[[#This Row],[Attendance_Percentage]]*40%+StudentData[[#This Row],[Assignments_Completed]]*2+StudentData[[#This Row],[Class_Participation]]*2+StudentData[[#This Row],[Projects_Submitted]]*4</f>
        <v>75.763999999999996</v>
      </c>
      <c r="M440">
        <f>StudentData[[#This Row],[Academic_Score]]*60%+StudentData[[#This Row],[Engagement_Score]]*30%+MIN(StudentData[[#This Row],[Study_Hours_per_Week]],20)/20*100*10%</f>
        <v>80.464799999999997</v>
      </c>
      <c r="N440" s="3" t="str" cm="1">
        <f t="array" ref="N440">_xlfn.IFS(StudentData[[#This Row],[Success_Score]]&gt;=85,"Exceptional",StudentData[[#This Row],[Success_Score]]&gt;=70,"Strong",StudentData[[#This Row],[Success_Score]]&gt;=55,"Developing",TRUE,"Needs Improvement")</f>
        <v>Strong</v>
      </c>
      <c r="O440" s="3" t="str">
        <f t="shared" si="12"/>
        <v>Low Risk</v>
      </c>
      <c r="P440" s="3" t="str">
        <f t="shared" si="13"/>
        <v>24-25</v>
      </c>
    </row>
    <row r="441" spans="1:16">
      <c r="A441" t="s">
        <v>475</v>
      </c>
      <c r="B441">
        <v>20</v>
      </c>
      <c r="C441" t="s">
        <v>4</v>
      </c>
      <c r="D441">
        <v>53.85</v>
      </c>
      <c r="E441">
        <v>10</v>
      </c>
      <c r="F441">
        <v>0.06</v>
      </c>
      <c r="G441">
        <v>80.319999999999993</v>
      </c>
      <c r="H441">
        <v>54.14</v>
      </c>
      <c r="I441">
        <v>8</v>
      </c>
      <c r="J441">
        <v>3</v>
      </c>
      <c r="K441">
        <f>(StudentData[[#This Row],[Midterm_Grade]]*40%)+(StudentData[[#This Row],[Final_Grade]]*60%)</f>
        <v>64.611999999999995</v>
      </c>
      <c r="L441">
        <f>StudentData[[#This Row],[Attendance_Percentage]]*40%+StudentData[[#This Row],[Assignments_Completed]]*2+StudentData[[#This Row],[Class_Participation]]*2+StudentData[[#This Row],[Projects_Submitted]]*4</f>
        <v>53.660000000000004</v>
      </c>
      <c r="M441">
        <f>StudentData[[#This Row],[Academic_Score]]*60%+StudentData[[#This Row],[Engagement_Score]]*30%+MIN(StudentData[[#This Row],[Study_Hours_per_Week]],20)/20*100*10%</f>
        <v>58.865199999999994</v>
      </c>
      <c r="N441" s="3" t="str" cm="1">
        <f t="array" ref="N441">_xlfn.IFS(StudentData[[#This Row],[Success_Score]]&gt;=85,"Exceptional",StudentData[[#This Row],[Success_Score]]&gt;=70,"Strong",StudentData[[#This Row],[Success_Score]]&gt;=55,"Developing",TRUE,"Needs Improvement")</f>
        <v>Developing</v>
      </c>
      <c r="O441" s="3" t="str">
        <f t="shared" si="12"/>
        <v>Medium Risk</v>
      </c>
      <c r="P441" s="3" t="str">
        <f t="shared" si="13"/>
        <v>18-20</v>
      </c>
    </row>
    <row r="442" spans="1:16">
      <c r="A442" t="s">
        <v>476</v>
      </c>
      <c r="B442">
        <v>18</v>
      </c>
      <c r="C442" t="s">
        <v>5</v>
      </c>
      <c r="D442">
        <v>52.93</v>
      </c>
      <c r="E442">
        <v>4</v>
      </c>
      <c r="F442">
        <v>7.73</v>
      </c>
      <c r="G442">
        <v>98.66</v>
      </c>
      <c r="H442">
        <v>28.41</v>
      </c>
      <c r="I442">
        <v>0</v>
      </c>
      <c r="J442">
        <v>4</v>
      </c>
      <c r="K442">
        <f>(StudentData[[#This Row],[Midterm_Grade]]*40%)+(StudentData[[#This Row],[Final_Grade]]*60%)</f>
        <v>56.51</v>
      </c>
      <c r="L442">
        <f>StudentData[[#This Row],[Attendance_Percentage]]*40%+StudentData[[#This Row],[Assignments_Completed]]*2+StudentData[[#This Row],[Class_Participation]]*2+StudentData[[#This Row],[Projects_Submitted]]*4</f>
        <v>60.632000000000005</v>
      </c>
      <c r="M442">
        <f>StudentData[[#This Row],[Academic_Score]]*60%+StudentData[[#This Row],[Engagement_Score]]*30%+MIN(StudentData[[#This Row],[Study_Hours_per_Week]],20)/20*100*10%</f>
        <v>52.095600000000005</v>
      </c>
      <c r="N442" s="3" t="str" cm="1">
        <f t="array" ref="N44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42" s="3" t="str">
        <f t="shared" si="12"/>
        <v>Medium Risk</v>
      </c>
      <c r="P442" s="3" t="str">
        <f t="shared" si="13"/>
        <v>18-20</v>
      </c>
    </row>
    <row r="443" spans="1:16">
      <c r="A443" t="s">
        <v>477</v>
      </c>
      <c r="B443">
        <v>25</v>
      </c>
      <c r="C443" t="s">
        <v>4</v>
      </c>
      <c r="D443">
        <v>66.709999999999994</v>
      </c>
      <c r="E443">
        <v>7</v>
      </c>
      <c r="F443">
        <v>7.02</v>
      </c>
      <c r="G443">
        <v>59.78</v>
      </c>
      <c r="H443">
        <v>99.48</v>
      </c>
      <c r="I443">
        <v>0</v>
      </c>
      <c r="J443">
        <v>0</v>
      </c>
      <c r="K443">
        <f>(StudentData[[#This Row],[Midterm_Grade]]*40%)+(StudentData[[#This Row],[Final_Grade]]*60%)</f>
        <v>83.600000000000009</v>
      </c>
      <c r="L443">
        <f>StudentData[[#This Row],[Attendance_Percentage]]*40%+StudentData[[#This Row],[Assignments_Completed]]*2+StudentData[[#This Row],[Class_Participation]]*2+StudentData[[#This Row],[Projects_Submitted]]*4</f>
        <v>54.723999999999997</v>
      </c>
      <c r="M443">
        <f>StudentData[[#This Row],[Academic_Score]]*60%+StudentData[[#This Row],[Engagement_Score]]*30%+MIN(StudentData[[#This Row],[Study_Hours_per_Week]],20)/20*100*10%</f>
        <v>66.577200000000005</v>
      </c>
      <c r="N443" s="3" t="str" cm="1">
        <f t="array" ref="N443">_xlfn.IFS(StudentData[[#This Row],[Success_Score]]&gt;=85,"Exceptional",StudentData[[#This Row],[Success_Score]]&gt;=70,"Strong",StudentData[[#This Row],[Success_Score]]&gt;=55,"Developing",TRUE,"Needs Improvement")</f>
        <v>Developing</v>
      </c>
      <c r="O443" s="3" t="str">
        <f t="shared" si="12"/>
        <v>Medium Risk</v>
      </c>
      <c r="P443" s="3" t="str">
        <f t="shared" si="13"/>
        <v>24-25</v>
      </c>
    </row>
    <row r="444" spans="1:16">
      <c r="A444" t="s">
        <v>478</v>
      </c>
      <c r="B444">
        <v>18</v>
      </c>
      <c r="C444" t="s">
        <v>4</v>
      </c>
      <c r="D444">
        <v>89.24</v>
      </c>
      <c r="E444">
        <v>9</v>
      </c>
      <c r="F444">
        <v>6.15</v>
      </c>
      <c r="G444">
        <v>8.1999999999999993</v>
      </c>
      <c r="H444">
        <v>96.66</v>
      </c>
      <c r="I444">
        <v>18</v>
      </c>
      <c r="J444">
        <v>0</v>
      </c>
      <c r="K444">
        <f>(StudentData[[#This Row],[Midterm_Grade]]*40%)+(StudentData[[#This Row],[Final_Grade]]*60%)</f>
        <v>61.275999999999996</v>
      </c>
      <c r="L444">
        <f>StudentData[[#This Row],[Attendance_Percentage]]*40%+StudentData[[#This Row],[Assignments_Completed]]*2+StudentData[[#This Row],[Class_Participation]]*2+StudentData[[#This Row],[Projects_Submitted]]*4</f>
        <v>65.995999999999995</v>
      </c>
      <c r="M444">
        <f>StudentData[[#This Row],[Academic_Score]]*60%+StudentData[[#This Row],[Engagement_Score]]*30%+MIN(StudentData[[#This Row],[Study_Hours_per_Week]],20)/20*100*10%</f>
        <v>65.564399999999992</v>
      </c>
      <c r="N444" s="3" t="str" cm="1">
        <f t="array" ref="N444">_xlfn.IFS(StudentData[[#This Row],[Success_Score]]&gt;=85,"Exceptional",StudentData[[#This Row],[Success_Score]]&gt;=70,"Strong",StudentData[[#This Row],[Success_Score]]&gt;=55,"Developing",TRUE,"Needs Improvement")</f>
        <v>Developing</v>
      </c>
      <c r="O444" s="3" t="str">
        <f t="shared" si="12"/>
        <v>Low Risk</v>
      </c>
      <c r="P444" s="3" t="str">
        <f t="shared" si="13"/>
        <v>18-20</v>
      </c>
    </row>
    <row r="445" spans="1:16">
      <c r="A445" t="s">
        <v>479</v>
      </c>
      <c r="B445">
        <v>25</v>
      </c>
      <c r="C445" t="s">
        <v>4</v>
      </c>
      <c r="D445">
        <v>85.38</v>
      </c>
      <c r="E445">
        <v>7</v>
      </c>
      <c r="F445">
        <v>7.6</v>
      </c>
      <c r="G445">
        <v>64.680000000000007</v>
      </c>
      <c r="H445">
        <v>44.07</v>
      </c>
      <c r="I445">
        <v>5</v>
      </c>
      <c r="J445">
        <v>0</v>
      </c>
      <c r="K445">
        <f>(StudentData[[#This Row],[Midterm_Grade]]*40%)+(StudentData[[#This Row],[Final_Grade]]*60%)</f>
        <v>52.314000000000007</v>
      </c>
      <c r="L445">
        <f>StudentData[[#This Row],[Attendance_Percentage]]*40%+StudentData[[#This Row],[Assignments_Completed]]*2+StudentData[[#This Row],[Class_Participation]]*2+StudentData[[#This Row],[Projects_Submitted]]*4</f>
        <v>63.352000000000004</v>
      </c>
      <c r="M445">
        <f>StudentData[[#This Row],[Academic_Score]]*60%+StudentData[[#This Row],[Engagement_Score]]*30%+MIN(StudentData[[#This Row],[Study_Hours_per_Week]],20)/20*100*10%</f>
        <v>52.894000000000005</v>
      </c>
      <c r="N445" s="3" t="str" cm="1">
        <f t="array" ref="N44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45" s="3" t="str">
        <f t="shared" si="12"/>
        <v>Medium Risk</v>
      </c>
      <c r="P445" s="3" t="str">
        <f t="shared" si="13"/>
        <v>24-25</v>
      </c>
    </row>
    <row r="446" spans="1:16">
      <c r="A446" t="s">
        <v>480</v>
      </c>
      <c r="B446">
        <v>21</v>
      </c>
      <c r="C446" t="s">
        <v>5</v>
      </c>
      <c r="D446">
        <v>89.43</v>
      </c>
      <c r="E446">
        <v>1</v>
      </c>
      <c r="F446">
        <v>5.13</v>
      </c>
      <c r="G446">
        <v>62.5</v>
      </c>
      <c r="H446">
        <v>26.04</v>
      </c>
      <c r="I446">
        <v>17</v>
      </c>
      <c r="J446">
        <v>5</v>
      </c>
      <c r="K446">
        <f>(StudentData[[#This Row],[Midterm_Grade]]*40%)+(StudentData[[#This Row],[Final_Grade]]*60%)</f>
        <v>40.623999999999995</v>
      </c>
      <c r="L446">
        <f>StudentData[[#This Row],[Attendance_Percentage]]*40%+StudentData[[#This Row],[Assignments_Completed]]*2+StudentData[[#This Row],[Class_Participation]]*2+StudentData[[#This Row],[Projects_Submitted]]*4</f>
        <v>68.032000000000011</v>
      </c>
      <c r="M446">
        <f>StudentData[[#This Row],[Academic_Score]]*60%+StudentData[[#This Row],[Engagement_Score]]*30%+MIN(StudentData[[#This Row],[Study_Hours_per_Week]],20)/20*100*10%</f>
        <v>53.283999999999999</v>
      </c>
      <c r="N446" s="3" t="str" cm="1">
        <f t="array" ref="N44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46" s="3" t="str">
        <f t="shared" si="12"/>
        <v>Medium Risk</v>
      </c>
      <c r="P446" s="3" t="str">
        <f t="shared" si="13"/>
        <v>21-23</v>
      </c>
    </row>
    <row r="447" spans="1:16">
      <c r="A447" t="s">
        <v>481</v>
      </c>
      <c r="B447">
        <v>20</v>
      </c>
      <c r="C447" t="s">
        <v>5</v>
      </c>
      <c r="D447">
        <v>75.86</v>
      </c>
      <c r="E447">
        <v>6</v>
      </c>
      <c r="F447">
        <v>7.04</v>
      </c>
      <c r="G447">
        <v>63.84</v>
      </c>
      <c r="H447">
        <v>83.84</v>
      </c>
      <c r="I447">
        <v>9</v>
      </c>
      <c r="J447">
        <v>0</v>
      </c>
      <c r="K447">
        <f>(StudentData[[#This Row],[Midterm_Grade]]*40%)+(StudentData[[#This Row],[Final_Grade]]*60%)</f>
        <v>75.84</v>
      </c>
      <c r="L447">
        <f>StudentData[[#This Row],[Attendance_Percentage]]*40%+StudentData[[#This Row],[Assignments_Completed]]*2+StudentData[[#This Row],[Class_Participation]]*2+StudentData[[#This Row],[Projects_Submitted]]*4</f>
        <v>56.423999999999999</v>
      </c>
      <c r="M447">
        <f>StudentData[[#This Row],[Academic_Score]]*60%+StudentData[[#This Row],[Engagement_Score]]*30%+MIN(StudentData[[#This Row],[Study_Hours_per_Week]],20)/20*100*10%</f>
        <v>66.93119999999999</v>
      </c>
      <c r="N447" s="3" t="str" cm="1">
        <f t="array" ref="N447">_xlfn.IFS(StudentData[[#This Row],[Success_Score]]&gt;=85,"Exceptional",StudentData[[#This Row],[Success_Score]]&gt;=70,"Strong",StudentData[[#This Row],[Success_Score]]&gt;=55,"Developing",TRUE,"Needs Improvement")</f>
        <v>Developing</v>
      </c>
      <c r="O447" s="3" t="str">
        <f t="shared" si="12"/>
        <v>Low Risk</v>
      </c>
      <c r="P447" s="3" t="str">
        <f t="shared" si="13"/>
        <v>18-20</v>
      </c>
    </row>
    <row r="448" spans="1:16">
      <c r="A448" t="s">
        <v>482</v>
      </c>
      <c r="B448">
        <v>20</v>
      </c>
      <c r="C448" t="s">
        <v>5</v>
      </c>
      <c r="D448">
        <v>72.010000000000005</v>
      </c>
      <c r="E448">
        <v>7</v>
      </c>
      <c r="F448">
        <v>9.35</v>
      </c>
      <c r="G448">
        <v>30.71</v>
      </c>
      <c r="H448">
        <v>71.56</v>
      </c>
      <c r="I448">
        <v>10</v>
      </c>
      <c r="J448">
        <v>1</v>
      </c>
      <c r="K448">
        <f>(StudentData[[#This Row],[Midterm_Grade]]*40%)+(StudentData[[#This Row],[Final_Grade]]*60%)</f>
        <v>55.22</v>
      </c>
      <c r="L448">
        <f>StudentData[[#This Row],[Attendance_Percentage]]*40%+StudentData[[#This Row],[Assignments_Completed]]*2+StudentData[[#This Row],[Class_Participation]]*2+StudentData[[#This Row],[Projects_Submitted]]*4</f>
        <v>65.504000000000005</v>
      </c>
      <c r="M448">
        <f>StudentData[[#This Row],[Academic_Score]]*60%+StudentData[[#This Row],[Engagement_Score]]*30%+MIN(StudentData[[#This Row],[Study_Hours_per_Week]],20)/20*100*10%</f>
        <v>57.783199999999994</v>
      </c>
      <c r="N448" s="3" t="str" cm="1">
        <f t="array" ref="N448">_xlfn.IFS(StudentData[[#This Row],[Success_Score]]&gt;=85,"Exceptional",StudentData[[#This Row],[Success_Score]]&gt;=70,"Strong",StudentData[[#This Row],[Success_Score]]&gt;=55,"Developing",TRUE,"Needs Improvement")</f>
        <v>Developing</v>
      </c>
      <c r="O448" s="3" t="str">
        <f t="shared" si="12"/>
        <v>Medium Risk</v>
      </c>
      <c r="P448" s="3" t="str">
        <f t="shared" si="13"/>
        <v>18-20</v>
      </c>
    </row>
    <row r="449" spans="1:16">
      <c r="A449" t="s">
        <v>483</v>
      </c>
      <c r="B449">
        <v>23</v>
      </c>
      <c r="C449" t="s">
        <v>6</v>
      </c>
      <c r="D449">
        <v>57.37</v>
      </c>
      <c r="E449">
        <v>10</v>
      </c>
      <c r="F449">
        <v>3.76</v>
      </c>
      <c r="G449">
        <v>85.97</v>
      </c>
      <c r="H449">
        <v>68.69</v>
      </c>
      <c r="I449">
        <v>0</v>
      </c>
      <c r="J449">
        <v>4</v>
      </c>
      <c r="K449">
        <f>(StudentData[[#This Row],[Midterm_Grade]]*40%)+(StudentData[[#This Row],[Final_Grade]]*60%)</f>
        <v>75.602000000000004</v>
      </c>
      <c r="L449">
        <f>StudentData[[#This Row],[Attendance_Percentage]]*40%+StudentData[[#This Row],[Assignments_Completed]]*2+StudentData[[#This Row],[Class_Participation]]*2+StudentData[[#This Row],[Projects_Submitted]]*4</f>
        <v>66.468000000000004</v>
      </c>
      <c r="M449">
        <f>StudentData[[#This Row],[Academic_Score]]*60%+StudentData[[#This Row],[Engagement_Score]]*30%+MIN(StudentData[[#This Row],[Study_Hours_per_Week]],20)/20*100*10%</f>
        <v>65.301600000000008</v>
      </c>
      <c r="N449" s="3" t="str" cm="1">
        <f t="array" ref="N449">_xlfn.IFS(StudentData[[#This Row],[Success_Score]]&gt;=85,"Exceptional",StudentData[[#This Row],[Success_Score]]&gt;=70,"Strong",StudentData[[#This Row],[Success_Score]]&gt;=55,"Developing",TRUE,"Needs Improvement")</f>
        <v>Developing</v>
      </c>
      <c r="O449" s="3" t="str">
        <f t="shared" si="12"/>
        <v>Medium Risk</v>
      </c>
      <c r="P449" s="3" t="str">
        <f t="shared" si="13"/>
        <v>21-23</v>
      </c>
    </row>
    <row r="450" spans="1:16">
      <c r="A450" t="s">
        <v>484</v>
      </c>
      <c r="B450">
        <v>24</v>
      </c>
      <c r="C450" t="s">
        <v>4</v>
      </c>
      <c r="D450">
        <v>66.41</v>
      </c>
      <c r="E450">
        <v>5</v>
      </c>
      <c r="F450">
        <v>7.08</v>
      </c>
      <c r="G450">
        <v>95.95</v>
      </c>
      <c r="H450">
        <v>89.31</v>
      </c>
      <c r="I450">
        <v>0</v>
      </c>
      <c r="J450">
        <v>2</v>
      </c>
      <c r="K450">
        <f>(StudentData[[#This Row],[Midterm_Grade]]*40%)+(StudentData[[#This Row],[Final_Grade]]*60%)</f>
        <v>91.966000000000008</v>
      </c>
      <c r="L450">
        <f>StudentData[[#This Row],[Attendance_Percentage]]*40%+StudentData[[#This Row],[Assignments_Completed]]*2+StudentData[[#This Row],[Class_Participation]]*2+StudentData[[#This Row],[Projects_Submitted]]*4</f>
        <v>58.724000000000004</v>
      </c>
      <c r="M450">
        <f>StudentData[[#This Row],[Academic_Score]]*60%+StudentData[[#This Row],[Engagement_Score]]*30%+MIN(StudentData[[#This Row],[Study_Hours_per_Week]],20)/20*100*10%</f>
        <v>72.796800000000005</v>
      </c>
      <c r="N450" s="3" t="str" cm="1">
        <f t="array" ref="N450">_xlfn.IFS(StudentData[[#This Row],[Success_Score]]&gt;=85,"Exceptional",StudentData[[#This Row],[Success_Score]]&gt;=70,"Strong",StudentData[[#This Row],[Success_Score]]&gt;=55,"Developing",TRUE,"Needs Improvement")</f>
        <v>Strong</v>
      </c>
      <c r="O450" s="3" t="str">
        <f t="shared" ref="O450:O513" si="14">IF(AND(D450&lt;60,K450&lt;50),"High Risk",IF(OR(D450&lt;70,K450&lt;60),"Medium Risk","Low Risk"))</f>
        <v>Medium Risk</v>
      </c>
      <c r="P450" s="3" t="str">
        <f t="shared" ref="P450:P513" si="15">IF(B450&lt;=20,"18-20",IF(B450&lt;=23,"21-23","24-25"))</f>
        <v>24-25</v>
      </c>
    </row>
    <row r="451" spans="1:16">
      <c r="A451" t="s">
        <v>485</v>
      </c>
      <c r="B451">
        <v>23</v>
      </c>
      <c r="C451" t="s">
        <v>4</v>
      </c>
      <c r="D451">
        <v>71.7</v>
      </c>
      <c r="E451">
        <v>4</v>
      </c>
      <c r="F451">
        <v>4.76</v>
      </c>
      <c r="G451">
        <v>21.77</v>
      </c>
      <c r="H451">
        <v>68.94</v>
      </c>
      <c r="I451">
        <v>12</v>
      </c>
      <c r="J451">
        <v>3</v>
      </c>
      <c r="K451">
        <f>(StudentData[[#This Row],[Midterm_Grade]]*40%)+(StudentData[[#This Row],[Final_Grade]]*60%)</f>
        <v>50.071999999999996</v>
      </c>
      <c r="L451">
        <f>StudentData[[#This Row],[Attendance_Percentage]]*40%+StudentData[[#This Row],[Assignments_Completed]]*2+StudentData[[#This Row],[Class_Participation]]*2+StudentData[[#This Row],[Projects_Submitted]]*4</f>
        <v>58.2</v>
      </c>
      <c r="M451">
        <f>StudentData[[#This Row],[Academic_Score]]*60%+StudentData[[#This Row],[Engagement_Score]]*30%+MIN(StudentData[[#This Row],[Study_Hours_per_Week]],20)/20*100*10%</f>
        <v>53.503199999999993</v>
      </c>
      <c r="N451" s="3" t="str" cm="1">
        <f t="array" ref="N45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51" s="3" t="str">
        <f t="shared" si="14"/>
        <v>Medium Risk</v>
      </c>
      <c r="P451" s="3" t="str">
        <f t="shared" si="15"/>
        <v>21-23</v>
      </c>
    </row>
    <row r="452" spans="1:16">
      <c r="A452" t="s">
        <v>486</v>
      </c>
      <c r="B452">
        <v>23</v>
      </c>
      <c r="C452" t="s">
        <v>4</v>
      </c>
      <c r="D452">
        <v>54.43</v>
      </c>
      <c r="E452">
        <v>10</v>
      </c>
      <c r="F452">
        <v>6.74</v>
      </c>
      <c r="G452">
        <v>8.82</v>
      </c>
      <c r="H452">
        <v>28.38</v>
      </c>
      <c r="I452">
        <v>4</v>
      </c>
      <c r="J452">
        <v>0</v>
      </c>
      <c r="K452">
        <f>(StudentData[[#This Row],[Midterm_Grade]]*40%)+(StudentData[[#This Row],[Final_Grade]]*60%)</f>
        <v>20.555999999999997</v>
      </c>
      <c r="L452">
        <f>StudentData[[#This Row],[Attendance_Percentage]]*40%+StudentData[[#This Row],[Assignments_Completed]]*2+StudentData[[#This Row],[Class_Participation]]*2+StudentData[[#This Row],[Projects_Submitted]]*4</f>
        <v>55.25200000000001</v>
      </c>
      <c r="M452">
        <f>StudentData[[#This Row],[Academic_Score]]*60%+StudentData[[#This Row],[Engagement_Score]]*30%+MIN(StudentData[[#This Row],[Study_Hours_per_Week]],20)/20*100*10%</f>
        <v>30.909199999999998</v>
      </c>
      <c r="N452" s="3" t="str" cm="1">
        <f t="array" ref="N45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52" s="3" t="str">
        <f t="shared" si="14"/>
        <v>High Risk</v>
      </c>
      <c r="P452" s="3" t="str">
        <f t="shared" si="15"/>
        <v>21-23</v>
      </c>
    </row>
    <row r="453" spans="1:16">
      <c r="A453" t="s">
        <v>487</v>
      </c>
      <c r="B453">
        <v>23</v>
      </c>
      <c r="C453" t="s">
        <v>4</v>
      </c>
      <c r="D453">
        <v>61.03</v>
      </c>
      <c r="E453">
        <v>8</v>
      </c>
      <c r="F453">
        <v>7.63</v>
      </c>
      <c r="G453">
        <v>19.45</v>
      </c>
      <c r="H453">
        <v>69.39</v>
      </c>
      <c r="I453">
        <v>19</v>
      </c>
      <c r="J453">
        <v>4</v>
      </c>
      <c r="K453">
        <f>(StudentData[[#This Row],[Midterm_Grade]]*40%)+(StudentData[[#This Row],[Final_Grade]]*60%)</f>
        <v>49.414000000000001</v>
      </c>
      <c r="L453">
        <f>StudentData[[#This Row],[Attendance_Percentage]]*40%+StudentData[[#This Row],[Assignments_Completed]]*2+StudentData[[#This Row],[Class_Participation]]*2+StudentData[[#This Row],[Projects_Submitted]]*4</f>
        <v>71.671999999999997</v>
      </c>
      <c r="M453">
        <f>StudentData[[#This Row],[Academic_Score]]*60%+StudentData[[#This Row],[Engagement_Score]]*30%+MIN(StudentData[[#This Row],[Study_Hours_per_Week]],20)/20*100*10%</f>
        <v>60.65</v>
      </c>
      <c r="N453" s="3" t="str" cm="1">
        <f t="array" ref="N453">_xlfn.IFS(StudentData[[#This Row],[Success_Score]]&gt;=85,"Exceptional",StudentData[[#This Row],[Success_Score]]&gt;=70,"Strong",StudentData[[#This Row],[Success_Score]]&gt;=55,"Developing",TRUE,"Needs Improvement")</f>
        <v>Developing</v>
      </c>
      <c r="O453" s="3" t="str">
        <f t="shared" si="14"/>
        <v>Medium Risk</v>
      </c>
      <c r="P453" s="3" t="str">
        <f t="shared" si="15"/>
        <v>21-23</v>
      </c>
    </row>
    <row r="454" spans="1:16">
      <c r="A454" t="s">
        <v>488</v>
      </c>
      <c r="B454">
        <v>23</v>
      </c>
      <c r="C454" t="s">
        <v>5</v>
      </c>
      <c r="D454">
        <v>79.91</v>
      </c>
      <c r="E454">
        <v>2</v>
      </c>
      <c r="F454">
        <v>0.45</v>
      </c>
      <c r="G454">
        <v>82.06</v>
      </c>
      <c r="H454">
        <v>30.58</v>
      </c>
      <c r="I454">
        <v>0</v>
      </c>
      <c r="J454">
        <v>0</v>
      </c>
      <c r="K454">
        <f>(StudentData[[#This Row],[Midterm_Grade]]*40%)+(StudentData[[#This Row],[Final_Grade]]*60%)</f>
        <v>51.172000000000004</v>
      </c>
      <c r="L454">
        <f>StudentData[[#This Row],[Attendance_Percentage]]*40%+StudentData[[#This Row],[Assignments_Completed]]*2+StudentData[[#This Row],[Class_Participation]]*2+StudentData[[#This Row],[Projects_Submitted]]*4</f>
        <v>36.863999999999997</v>
      </c>
      <c r="M454">
        <f>StudentData[[#This Row],[Academic_Score]]*60%+StudentData[[#This Row],[Engagement_Score]]*30%+MIN(StudentData[[#This Row],[Study_Hours_per_Week]],20)/20*100*10%</f>
        <v>41.7624</v>
      </c>
      <c r="N454" s="3" t="str" cm="1">
        <f t="array" ref="N45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54" s="3" t="str">
        <f t="shared" si="14"/>
        <v>Medium Risk</v>
      </c>
      <c r="P454" s="3" t="str">
        <f t="shared" si="15"/>
        <v>21-23</v>
      </c>
    </row>
    <row r="455" spans="1:16">
      <c r="A455" t="s">
        <v>489</v>
      </c>
      <c r="B455">
        <v>23</v>
      </c>
      <c r="C455" t="s">
        <v>6</v>
      </c>
      <c r="D455">
        <v>86.78</v>
      </c>
      <c r="E455">
        <v>9</v>
      </c>
      <c r="F455">
        <v>6.47</v>
      </c>
      <c r="G455">
        <v>67.66</v>
      </c>
      <c r="H455">
        <v>75.92</v>
      </c>
      <c r="I455">
        <v>19</v>
      </c>
      <c r="J455">
        <v>5</v>
      </c>
      <c r="K455">
        <f>(StudentData[[#This Row],[Midterm_Grade]]*40%)+(StudentData[[#This Row],[Final_Grade]]*60%)</f>
        <v>72.616</v>
      </c>
      <c r="L455">
        <f>StudentData[[#This Row],[Attendance_Percentage]]*40%+StudentData[[#This Row],[Assignments_Completed]]*2+StudentData[[#This Row],[Class_Participation]]*2+StudentData[[#This Row],[Projects_Submitted]]*4</f>
        <v>85.652000000000001</v>
      </c>
      <c r="M455">
        <f>StudentData[[#This Row],[Academic_Score]]*60%+StudentData[[#This Row],[Engagement_Score]]*30%+MIN(StudentData[[#This Row],[Study_Hours_per_Week]],20)/20*100*10%</f>
        <v>78.765199999999993</v>
      </c>
      <c r="N455" s="3" t="str" cm="1">
        <f t="array" ref="N455">_xlfn.IFS(StudentData[[#This Row],[Success_Score]]&gt;=85,"Exceptional",StudentData[[#This Row],[Success_Score]]&gt;=70,"Strong",StudentData[[#This Row],[Success_Score]]&gt;=55,"Developing",TRUE,"Needs Improvement")</f>
        <v>Strong</v>
      </c>
      <c r="O455" s="3" t="str">
        <f t="shared" si="14"/>
        <v>Low Risk</v>
      </c>
      <c r="P455" s="3" t="str">
        <f t="shared" si="15"/>
        <v>21-23</v>
      </c>
    </row>
    <row r="456" spans="1:16">
      <c r="A456" t="s">
        <v>490</v>
      </c>
      <c r="B456">
        <v>22</v>
      </c>
      <c r="C456" t="s">
        <v>5</v>
      </c>
      <c r="D456">
        <v>99.92</v>
      </c>
      <c r="E456">
        <v>3</v>
      </c>
      <c r="F456">
        <v>2.27</v>
      </c>
      <c r="G456">
        <v>63.6</v>
      </c>
      <c r="H456">
        <v>61.97</v>
      </c>
      <c r="I456">
        <v>2</v>
      </c>
      <c r="J456">
        <v>0</v>
      </c>
      <c r="K456">
        <f>(StudentData[[#This Row],[Midterm_Grade]]*40%)+(StudentData[[#This Row],[Final_Grade]]*60%)</f>
        <v>62.622</v>
      </c>
      <c r="L456">
        <f>StudentData[[#This Row],[Attendance_Percentage]]*40%+StudentData[[#This Row],[Assignments_Completed]]*2+StudentData[[#This Row],[Class_Participation]]*2+StudentData[[#This Row],[Projects_Submitted]]*4</f>
        <v>50.508000000000003</v>
      </c>
      <c r="M456">
        <f>StudentData[[#This Row],[Academic_Score]]*60%+StudentData[[#This Row],[Engagement_Score]]*30%+MIN(StudentData[[#This Row],[Study_Hours_per_Week]],20)/20*100*10%</f>
        <v>53.7256</v>
      </c>
      <c r="N456" s="3" t="str" cm="1">
        <f t="array" ref="N45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56" s="3" t="str">
        <f t="shared" si="14"/>
        <v>Low Risk</v>
      </c>
      <c r="P456" s="3" t="str">
        <f t="shared" si="15"/>
        <v>21-23</v>
      </c>
    </row>
    <row r="457" spans="1:16">
      <c r="A457" t="s">
        <v>491</v>
      </c>
      <c r="B457">
        <v>20</v>
      </c>
      <c r="C457" t="s">
        <v>5</v>
      </c>
      <c r="D457">
        <v>96.66</v>
      </c>
      <c r="E457">
        <v>8</v>
      </c>
      <c r="F457">
        <v>6.7</v>
      </c>
      <c r="G457">
        <v>40.18</v>
      </c>
      <c r="H457">
        <v>7.74</v>
      </c>
      <c r="I457">
        <v>17</v>
      </c>
      <c r="J457">
        <v>0</v>
      </c>
      <c r="K457">
        <f>(StudentData[[#This Row],[Midterm_Grade]]*40%)+(StudentData[[#This Row],[Final_Grade]]*60%)</f>
        <v>20.716000000000001</v>
      </c>
      <c r="L457">
        <f>StudentData[[#This Row],[Attendance_Percentage]]*40%+StudentData[[#This Row],[Assignments_Completed]]*2+StudentData[[#This Row],[Class_Participation]]*2+StudentData[[#This Row],[Projects_Submitted]]*4</f>
        <v>68.064000000000007</v>
      </c>
      <c r="M457">
        <f>StudentData[[#This Row],[Academic_Score]]*60%+StudentData[[#This Row],[Engagement_Score]]*30%+MIN(StudentData[[#This Row],[Study_Hours_per_Week]],20)/20*100*10%</f>
        <v>41.348799999999997</v>
      </c>
      <c r="N457" s="3" t="str" cm="1">
        <f t="array" ref="N45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57" s="3" t="str">
        <f t="shared" si="14"/>
        <v>Medium Risk</v>
      </c>
      <c r="P457" s="3" t="str">
        <f t="shared" si="15"/>
        <v>18-20</v>
      </c>
    </row>
    <row r="458" spans="1:16">
      <c r="A458" t="s">
        <v>492</v>
      </c>
      <c r="B458">
        <v>23</v>
      </c>
      <c r="C458" t="s">
        <v>4</v>
      </c>
      <c r="D458">
        <v>82.13</v>
      </c>
      <c r="E458">
        <v>5</v>
      </c>
      <c r="F458">
        <v>4.68</v>
      </c>
      <c r="G458">
        <v>57.78</v>
      </c>
      <c r="H458">
        <v>51.28</v>
      </c>
      <c r="I458">
        <v>8</v>
      </c>
      <c r="J458">
        <v>0</v>
      </c>
      <c r="K458">
        <f>(StudentData[[#This Row],[Midterm_Grade]]*40%)+(StudentData[[#This Row],[Final_Grade]]*60%)</f>
        <v>53.88</v>
      </c>
      <c r="L458">
        <f>StudentData[[#This Row],[Attendance_Percentage]]*40%+StudentData[[#This Row],[Assignments_Completed]]*2+StudentData[[#This Row],[Class_Participation]]*2+StudentData[[#This Row],[Projects_Submitted]]*4</f>
        <v>52.211999999999996</v>
      </c>
      <c r="M458">
        <f>StudentData[[#This Row],[Academic_Score]]*60%+StudentData[[#This Row],[Engagement_Score]]*30%+MIN(StudentData[[#This Row],[Study_Hours_per_Week]],20)/20*100*10%</f>
        <v>51.991600000000005</v>
      </c>
      <c r="N458" s="3" t="str" cm="1">
        <f t="array" ref="N45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58" s="3" t="str">
        <f t="shared" si="14"/>
        <v>Medium Risk</v>
      </c>
      <c r="P458" s="3" t="str">
        <f t="shared" si="15"/>
        <v>21-23</v>
      </c>
    </row>
    <row r="459" spans="1:16">
      <c r="A459" t="s">
        <v>493</v>
      </c>
      <c r="B459">
        <v>25</v>
      </c>
      <c r="C459" t="s">
        <v>5</v>
      </c>
      <c r="D459">
        <v>71.06</v>
      </c>
      <c r="E459">
        <v>7</v>
      </c>
      <c r="F459">
        <v>7.74</v>
      </c>
      <c r="G459">
        <v>30.79</v>
      </c>
      <c r="H459">
        <v>34.33</v>
      </c>
      <c r="I459">
        <v>13</v>
      </c>
      <c r="J459">
        <v>0</v>
      </c>
      <c r="K459">
        <f>(StudentData[[#This Row],[Midterm_Grade]]*40%)+(StudentData[[#This Row],[Final_Grade]]*60%)</f>
        <v>32.914000000000001</v>
      </c>
      <c r="L459">
        <f>StudentData[[#This Row],[Attendance_Percentage]]*40%+StudentData[[#This Row],[Assignments_Completed]]*2+StudentData[[#This Row],[Class_Participation]]*2+StudentData[[#This Row],[Projects_Submitted]]*4</f>
        <v>57.904000000000011</v>
      </c>
      <c r="M459">
        <f>StudentData[[#This Row],[Academic_Score]]*60%+StudentData[[#This Row],[Engagement_Score]]*30%+MIN(StudentData[[#This Row],[Study_Hours_per_Week]],20)/20*100*10%</f>
        <v>43.619600000000005</v>
      </c>
      <c r="N459" s="3" t="str" cm="1">
        <f t="array" ref="N45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59" s="3" t="str">
        <f t="shared" si="14"/>
        <v>Medium Risk</v>
      </c>
      <c r="P459" s="3" t="str">
        <f t="shared" si="15"/>
        <v>24-25</v>
      </c>
    </row>
    <row r="460" spans="1:16">
      <c r="A460" t="s">
        <v>494</v>
      </c>
      <c r="B460">
        <v>20</v>
      </c>
      <c r="C460" t="s">
        <v>5</v>
      </c>
      <c r="D460">
        <v>81.81</v>
      </c>
      <c r="E460">
        <v>6</v>
      </c>
      <c r="F460">
        <v>1.23</v>
      </c>
      <c r="G460">
        <v>47.72</v>
      </c>
      <c r="H460">
        <v>32.86</v>
      </c>
      <c r="I460">
        <v>16</v>
      </c>
      <c r="J460">
        <v>3</v>
      </c>
      <c r="K460">
        <f>(StudentData[[#This Row],[Midterm_Grade]]*40%)+(StudentData[[#This Row],[Final_Grade]]*60%)</f>
        <v>38.804000000000002</v>
      </c>
      <c r="L460">
        <f>StudentData[[#This Row],[Attendance_Percentage]]*40%+StudentData[[#This Row],[Assignments_Completed]]*2+StudentData[[#This Row],[Class_Participation]]*2+StudentData[[#This Row],[Projects_Submitted]]*4</f>
        <v>59.184000000000005</v>
      </c>
      <c r="M460">
        <f>StudentData[[#This Row],[Academic_Score]]*60%+StudentData[[#This Row],[Engagement_Score]]*30%+MIN(StudentData[[#This Row],[Study_Hours_per_Week]],20)/20*100*10%</f>
        <v>49.037599999999998</v>
      </c>
      <c r="N460" s="3" t="str" cm="1">
        <f t="array" ref="N46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60" s="3" t="str">
        <f t="shared" si="14"/>
        <v>Medium Risk</v>
      </c>
      <c r="P460" s="3" t="str">
        <f t="shared" si="15"/>
        <v>18-20</v>
      </c>
    </row>
    <row r="461" spans="1:16">
      <c r="A461" t="s">
        <v>495</v>
      </c>
      <c r="B461">
        <v>20</v>
      </c>
      <c r="C461" t="s">
        <v>4</v>
      </c>
      <c r="D461">
        <v>89.28</v>
      </c>
      <c r="E461">
        <v>10</v>
      </c>
      <c r="F461">
        <v>6.26</v>
      </c>
      <c r="G461">
        <v>79.31</v>
      </c>
      <c r="H461">
        <v>60.23</v>
      </c>
      <c r="I461">
        <v>13</v>
      </c>
      <c r="J461">
        <v>4</v>
      </c>
      <c r="K461">
        <f>(StudentData[[#This Row],[Midterm_Grade]]*40%)+(StudentData[[#This Row],[Final_Grade]]*60%)</f>
        <v>67.861999999999995</v>
      </c>
      <c r="L461">
        <f>StudentData[[#This Row],[Attendance_Percentage]]*40%+StudentData[[#This Row],[Assignments_Completed]]*2+StudentData[[#This Row],[Class_Participation]]*2+StudentData[[#This Row],[Projects_Submitted]]*4</f>
        <v>84.231999999999999</v>
      </c>
      <c r="M461">
        <f>StudentData[[#This Row],[Academic_Score]]*60%+StudentData[[#This Row],[Engagement_Score]]*30%+MIN(StudentData[[#This Row],[Study_Hours_per_Week]],20)/20*100*10%</f>
        <v>72.486800000000002</v>
      </c>
      <c r="N461" s="3" t="str" cm="1">
        <f t="array" ref="N461">_xlfn.IFS(StudentData[[#This Row],[Success_Score]]&gt;=85,"Exceptional",StudentData[[#This Row],[Success_Score]]&gt;=70,"Strong",StudentData[[#This Row],[Success_Score]]&gt;=55,"Developing",TRUE,"Needs Improvement")</f>
        <v>Strong</v>
      </c>
      <c r="O461" s="3" t="str">
        <f t="shared" si="14"/>
        <v>Low Risk</v>
      </c>
      <c r="P461" s="3" t="str">
        <f t="shared" si="15"/>
        <v>18-20</v>
      </c>
    </row>
    <row r="462" spans="1:16">
      <c r="A462" t="s">
        <v>496</v>
      </c>
      <c r="B462">
        <v>19</v>
      </c>
      <c r="C462" t="s">
        <v>5</v>
      </c>
      <c r="D462">
        <v>55.92</v>
      </c>
      <c r="E462">
        <v>1</v>
      </c>
      <c r="F462">
        <v>2.78</v>
      </c>
      <c r="G462">
        <v>98.12</v>
      </c>
      <c r="H462">
        <v>32.229999999999997</v>
      </c>
      <c r="I462">
        <v>3</v>
      </c>
      <c r="J462">
        <v>5</v>
      </c>
      <c r="K462">
        <f>(StudentData[[#This Row],[Midterm_Grade]]*40%)+(StudentData[[#This Row],[Final_Grade]]*60%)</f>
        <v>58.585999999999999</v>
      </c>
      <c r="L462">
        <f>StudentData[[#This Row],[Attendance_Percentage]]*40%+StudentData[[#This Row],[Assignments_Completed]]*2+StudentData[[#This Row],[Class_Participation]]*2+StudentData[[#This Row],[Projects_Submitted]]*4</f>
        <v>49.927999999999997</v>
      </c>
      <c r="M462">
        <f>StudentData[[#This Row],[Academic_Score]]*60%+StudentData[[#This Row],[Engagement_Score]]*30%+MIN(StudentData[[#This Row],[Study_Hours_per_Week]],20)/20*100*10%</f>
        <v>51.629999999999995</v>
      </c>
      <c r="N462" s="3" t="str" cm="1">
        <f t="array" ref="N46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62" s="3" t="str">
        <f t="shared" si="14"/>
        <v>Medium Risk</v>
      </c>
      <c r="P462" s="3" t="str">
        <f t="shared" si="15"/>
        <v>18-20</v>
      </c>
    </row>
    <row r="463" spans="1:16">
      <c r="A463" t="s">
        <v>497</v>
      </c>
      <c r="B463">
        <v>22</v>
      </c>
      <c r="C463" t="s">
        <v>4</v>
      </c>
      <c r="D463">
        <v>70.5</v>
      </c>
      <c r="E463">
        <v>2</v>
      </c>
      <c r="F463">
        <v>8.5299999999999994</v>
      </c>
      <c r="G463">
        <v>93.25</v>
      </c>
      <c r="H463">
        <v>77.69</v>
      </c>
      <c r="I463">
        <v>4</v>
      </c>
      <c r="J463">
        <v>0</v>
      </c>
      <c r="K463">
        <f>(StudentData[[#This Row],[Midterm_Grade]]*40%)+(StudentData[[#This Row],[Final_Grade]]*60%)</f>
        <v>83.914000000000001</v>
      </c>
      <c r="L463">
        <f>StudentData[[#This Row],[Attendance_Percentage]]*40%+StudentData[[#This Row],[Assignments_Completed]]*2+StudentData[[#This Row],[Class_Participation]]*2+StudentData[[#This Row],[Projects_Submitted]]*4</f>
        <v>49.260000000000005</v>
      </c>
      <c r="M463">
        <f>StudentData[[#This Row],[Academic_Score]]*60%+StudentData[[#This Row],[Engagement_Score]]*30%+MIN(StudentData[[#This Row],[Study_Hours_per_Week]],20)/20*100*10%</f>
        <v>67.126400000000004</v>
      </c>
      <c r="N463" s="3" t="str" cm="1">
        <f t="array" ref="N463">_xlfn.IFS(StudentData[[#This Row],[Success_Score]]&gt;=85,"Exceptional",StudentData[[#This Row],[Success_Score]]&gt;=70,"Strong",StudentData[[#This Row],[Success_Score]]&gt;=55,"Developing",TRUE,"Needs Improvement")</f>
        <v>Developing</v>
      </c>
      <c r="O463" s="3" t="str">
        <f t="shared" si="14"/>
        <v>Low Risk</v>
      </c>
      <c r="P463" s="3" t="str">
        <f t="shared" si="15"/>
        <v>21-23</v>
      </c>
    </row>
    <row r="464" spans="1:16">
      <c r="A464" t="s">
        <v>498</v>
      </c>
      <c r="B464">
        <v>23</v>
      </c>
      <c r="C464" t="s">
        <v>5</v>
      </c>
      <c r="D464">
        <v>91.99</v>
      </c>
      <c r="E464">
        <v>0</v>
      </c>
      <c r="F464">
        <v>9.2799999999999994</v>
      </c>
      <c r="G464">
        <v>93.39</v>
      </c>
      <c r="H464">
        <v>7.08</v>
      </c>
      <c r="I464">
        <v>16</v>
      </c>
      <c r="J464">
        <v>0</v>
      </c>
      <c r="K464">
        <f>(StudentData[[#This Row],[Midterm_Grade]]*40%)+(StudentData[[#This Row],[Final_Grade]]*60%)</f>
        <v>41.603999999999999</v>
      </c>
      <c r="L464">
        <f>StudentData[[#This Row],[Attendance_Percentage]]*40%+StudentData[[#This Row],[Assignments_Completed]]*2+StudentData[[#This Row],[Class_Participation]]*2+StudentData[[#This Row],[Projects_Submitted]]*4</f>
        <v>55.355999999999995</v>
      </c>
      <c r="M464">
        <f>StudentData[[#This Row],[Academic_Score]]*60%+StudentData[[#This Row],[Engagement_Score]]*30%+MIN(StudentData[[#This Row],[Study_Hours_per_Week]],20)/20*100*10%</f>
        <v>49.569199999999995</v>
      </c>
      <c r="N464" s="3" t="str" cm="1">
        <f t="array" ref="N46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64" s="3" t="str">
        <f t="shared" si="14"/>
        <v>Medium Risk</v>
      </c>
      <c r="P464" s="3" t="str">
        <f t="shared" si="15"/>
        <v>21-23</v>
      </c>
    </row>
    <row r="465" spans="1:16">
      <c r="A465" t="s">
        <v>499</v>
      </c>
      <c r="B465">
        <v>18</v>
      </c>
      <c r="C465" t="s">
        <v>5</v>
      </c>
      <c r="D465">
        <v>69.19</v>
      </c>
      <c r="E465">
        <v>8</v>
      </c>
      <c r="F465">
        <v>9.9600000000000009</v>
      </c>
      <c r="G465">
        <v>40.22</v>
      </c>
      <c r="H465">
        <v>66.040000000000006</v>
      </c>
      <c r="I465">
        <v>1</v>
      </c>
      <c r="J465">
        <v>0</v>
      </c>
      <c r="K465">
        <f>(StudentData[[#This Row],[Midterm_Grade]]*40%)+(StudentData[[#This Row],[Final_Grade]]*60%)</f>
        <v>55.712000000000003</v>
      </c>
      <c r="L465">
        <f>StudentData[[#This Row],[Attendance_Percentage]]*40%+StudentData[[#This Row],[Assignments_Completed]]*2+StudentData[[#This Row],[Class_Participation]]*2+StudentData[[#This Row],[Projects_Submitted]]*4</f>
        <v>63.596000000000004</v>
      </c>
      <c r="M465">
        <f>StudentData[[#This Row],[Academic_Score]]*60%+StudentData[[#This Row],[Engagement_Score]]*30%+MIN(StudentData[[#This Row],[Study_Hours_per_Week]],20)/20*100*10%</f>
        <v>53.006</v>
      </c>
      <c r="N465" s="3" t="str" cm="1">
        <f t="array" ref="N46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65" s="3" t="str">
        <f t="shared" si="14"/>
        <v>Medium Risk</v>
      </c>
      <c r="P465" s="3" t="str">
        <f t="shared" si="15"/>
        <v>18-20</v>
      </c>
    </row>
    <row r="466" spans="1:16">
      <c r="A466" t="s">
        <v>500</v>
      </c>
      <c r="B466">
        <v>21</v>
      </c>
      <c r="C466" t="s">
        <v>5</v>
      </c>
      <c r="D466">
        <v>78.59</v>
      </c>
      <c r="E466">
        <v>6</v>
      </c>
      <c r="F466">
        <v>7.96</v>
      </c>
      <c r="G466">
        <v>46.88</v>
      </c>
      <c r="H466">
        <v>80.92</v>
      </c>
      <c r="I466">
        <v>4</v>
      </c>
      <c r="J466">
        <v>0</v>
      </c>
      <c r="K466">
        <f>(StudentData[[#This Row],[Midterm_Grade]]*40%)+(StudentData[[#This Row],[Final_Grade]]*60%)</f>
        <v>67.304000000000002</v>
      </c>
      <c r="L466">
        <f>StudentData[[#This Row],[Attendance_Percentage]]*40%+StudentData[[#This Row],[Assignments_Completed]]*2+StudentData[[#This Row],[Class_Participation]]*2+StudentData[[#This Row],[Projects_Submitted]]*4</f>
        <v>59.356000000000009</v>
      </c>
      <c r="M466">
        <f>StudentData[[#This Row],[Academic_Score]]*60%+StudentData[[#This Row],[Engagement_Score]]*30%+MIN(StudentData[[#This Row],[Study_Hours_per_Week]],20)/20*100*10%</f>
        <v>60.1892</v>
      </c>
      <c r="N466" s="3" t="str" cm="1">
        <f t="array" ref="N466">_xlfn.IFS(StudentData[[#This Row],[Success_Score]]&gt;=85,"Exceptional",StudentData[[#This Row],[Success_Score]]&gt;=70,"Strong",StudentData[[#This Row],[Success_Score]]&gt;=55,"Developing",TRUE,"Needs Improvement")</f>
        <v>Developing</v>
      </c>
      <c r="O466" s="3" t="str">
        <f t="shared" si="14"/>
        <v>Low Risk</v>
      </c>
      <c r="P466" s="3" t="str">
        <f t="shared" si="15"/>
        <v>21-23</v>
      </c>
    </row>
    <row r="467" spans="1:16">
      <c r="A467" t="s">
        <v>501</v>
      </c>
      <c r="B467">
        <v>24</v>
      </c>
      <c r="C467" t="s">
        <v>5</v>
      </c>
      <c r="D467">
        <v>79.39</v>
      </c>
      <c r="E467">
        <v>0</v>
      </c>
      <c r="F467">
        <v>7.54</v>
      </c>
      <c r="G467">
        <v>70.56</v>
      </c>
      <c r="H467">
        <v>67.28</v>
      </c>
      <c r="I467">
        <v>3</v>
      </c>
      <c r="J467">
        <v>1</v>
      </c>
      <c r="K467">
        <f>(StudentData[[#This Row],[Midterm_Grade]]*40%)+(StudentData[[#This Row],[Final_Grade]]*60%)</f>
        <v>68.592000000000013</v>
      </c>
      <c r="L467">
        <f>StudentData[[#This Row],[Attendance_Percentage]]*40%+StudentData[[#This Row],[Assignments_Completed]]*2+StudentData[[#This Row],[Class_Participation]]*2+StudentData[[#This Row],[Projects_Submitted]]*4</f>
        <v>50.835999999999999</v>
      </c>
      <c r="M467">
        <f>StudentData[[#This Row],[Academic_Score]]*60%+StudentData[[#This Row],[Engagement_Score]]*30%+MIN(StudentData[[#This Row],[Study_Hours_per_Week]],20)/20*100*10%</f>
        <v>57.906000000000006</v>
      </c>
      <c r="N467" s="3" t="str" cm="1">
        <f t="array" ref="N467">_xlfn.IFS(StudentData[[#This Row],[Success_Score]]&gt;=85,"Exceptional",StudentData[[#This Row],[Success_Score]]&gt;=70,"Strong",StudentData[[#This Row],[Success_Score]]&gt;=55,"Developing",TRUE,"Needs Improvement")</f>
        <v>Developing</v>
      </c>
      <c r="O467" s="3" t="str">
        <f t="shared" si="14"/>
        <v>Low Risk</v>
      </c>
      <c r="P467" s="3" t="str">
        <f t="shared" si="15"/>
        <v>24-25</v>
      </c>
    </row>
    <row r="468" spans="1:16">
      <c r="A468" t="s">
        <v>502</v>
      </c>
      <c r="B468">
        <v>25</v>
      </c>
      <c r="C468" t="s">
        <v>4</v>
      </c>
      <c r="D468">
        <v>59.22</v>
      </c>
      <c r="E468">
        <v>2</v>
      </c>
      <c r="F468">
        <v>2.16</v>
      </c>
      <c r="G468">
        <v>92.22</v>
      </c>
      <c r="H468">
        <v>49.72</v>
      </c>
      <c r="I468">
        <v>3</v>
      </c>
      <c r="J468">
        <v>1</v>
      </c>
      <c r="K468">
        <f>(StudentData[[#This Row],[Midterm_Grade]]*40%)+(StudentData[[#This Row],[Final_Grade]]*60%)</f>
        <v>66.72</v>
      </c>
      <c r="L468">
        <f>StudentData[[#This Row],[Attendance_Percentage]]*40%+StudentData[[#This Row],[Assignments_Completed]]*2+StudentData[[#This Row],[Class_Participation]]*2+StudentData[[#This Row],[Projects_Submitted]]*4</f>
        <v>36.008000000000003</v>
      </c>
      <c r="M468">
        <f>StudentData[[#This Row],[Academic_Score]]*60%+StudentData[[#This Row],[Engagement_Score]]*30%+MIN(StudentData[[#This Row],[Study_Hours_per_Week]],20)/20*100*10%</f>
        <v>52.334399999999995</v>
      </c>
      <c r="N468" s="3" t="str" cm="1">
        <f t="array" ref="N46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68" s="3" t="str">
        <f t="shared" si="14"/>
        <v>Medium Risk</v>
      </c>
      <c r="P468" s="3" t="str">
        <f t="shared" si="15"/>
        <v>24-25</v>
      </c>
    </row>
    <row r="469" spans="1:16">
      <c r="A469" t="s">
        <v>503</v>
      </c>
      <c r="B469">
        <v>18</v>
      </c>
      <c r="C469" t="s">
        <v>5</v>
      </c>
      <c r="D469">
        <v>68.11</v>
      </c>
      <c r="E469">
        <v>3</v>
      </c>
      <c r="F469">
        <v>3.36</v>
      </c>
      <c r="G469">
        <v>14.2</v>
      </c>
      <c r="H469">
        <v>95.03</v>
      </c>
      <c r="I469">
        <v>5</v>
      </c>
      <c r="J469">
        <v>2</v>
      </c>
      <c r="K469">
        <f>(StudentData[[#This Row],[Midterm_Grade]]*40%)+(StudentData[[#This Row],[Final_Grade]]*60%)</f>
        <v>62.698</v>
      </c>
      <c r="L469">
        <f>StudentData[[#This Row],[Attendance_Percentage]]*40%+StudentData[[#This Row],[Assignments_Completed]]*2+StudentData[[#This Row],[Class_Participation]]*2+StudentData[[#This Row],[Projects_Submitted]]*4</f>
        <v>47.963999999999999</v>
      </c>
      <c r="M469">
        <f>StudentData[[#This Row],[Academic_Score]]*60%+StudentData[[#This Row],[Engagement_Score]]*30%+MIN(StudentData[[#This Row],[Study_Hours_per_Week]],20)/20*100*10%</f>
        <v>54.507999999999996</v>
      </c>
      <c r="N469" s="3" t="str" cm="1">
        <f t="array" ref="N46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69" s="3" t="str">
        <f t="shared" si="14"/>
        <v>Medium Risk</v>
      </c>
      <c r="P469" s="3" t="str">
        <f t="shared" si="15"/>
        <v>18-20</v>
      </c>
    </row>
    <row r="470" spans="1:16">
      <c r="A470" t="s">
        <v>504</v>
      </c>
      <c r="B470">
        <v>22</v>
      </c>
      <c r="C470" t="s">
        <v>4</v>
      </c>
      <c r="D470">
        <v>66.73</v>
      </c>
      <c r="E470">
        <v>3</v>
      </c>
      <c r="F470">
        <v>4.66</v>
      </c>
      <c r="G470">
        <v>30.42</v>
      </c>
      <c r="H470">
        <v>29.99</v>
      </c>
      <c r="I470">
        <v>19</v>
      </c>
      <c r="J470">
        <v>0</v>
      </c>
      <c r="K470">
        <f>(StudentData[[#This Row],[Midterm_Grade]]*40%)+(StudentData[[#This Row],[Final_Grade]]*60%)</f>
        <v>30.161999999999999</v>
      </c>
      <c r="L470">
        <f>StudentData[[#This Row],[Attendance_Percentage]]*40%+StudentData[[#This Row],[Assignments_Completed]]*2+StudentData[[#This Row],[Class_Participation]]*2+StudentData[[#This Row],[Projects_Submitted]]*4</f>
        <v>42.012000000000008</v>
      </c>
      <c r="M470">
        <f>StudentData[[#This Row],[Academic_Score]]*60%+StudentData[[#This Row],[Engagement_Score]]*30%+MIN(StudentData[[#This Row],[Study_Hours_per_Week]],20)/20*100*10%</f>
        <v>40.200800000000001</v>
      </c>
      <c r="N470" s="3" t="str" cm="1">
        <f t="array" ref="N47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70" s="3" t="str">
        <f t="shared" si="14"/>
        <v>Medium Risk</v>
      </c>
      <c r="P470" s="3" t="str">
        <f t="shared" si="15"/>
        <v>21-23</v>
      </c>
    </row>
    <row r="471" spans="1:16">
      <c r="A471" t="s">
        <v>505</v>
      </c>
      <c r="B471">
        <v>21</v>
      </c>
      <c r="C471" t="s">
        <v>4</v>
      </c>
      <c r="D471">
        <v>51.31</v>
      </c>
      <c r="E471">
        <v>4</v>
      </c>
      <c r="F471">
        <v>7.73</v>
      </c>
      <c r="G471">
        <v>13.92</v>
      </c>
      <c r="H471">
        <v>1.92</v>
      </c>
      <c r="I471">
        <v>12</v>
      </c>
      <c r="J471">
        <v>2</v>
      </c>
      <c r="K471">
        <f>(StudentData[[#This Row],[Midterm_Grade]]*40%)+(StudentData[[#This Row],[Final_Grade]]*60%)</f>
        <v>6.7200000000000006</v>
      </c>
      <c r="L471">
        <f>StudentData[[#This Row],[Attendance_Percentage]]*40%+StudentData[[#This Row],[Assignments_Completed]]*2+StudentData[[#This Row],[Class_Participation]]*2+StudentData[[#This Row],[Projects_Submitted]]*4</f>
        <v>51.984000000000002</v>
      </c>
      <c r="M471">
        <f>StudentData[[#This Row],[Academic_Score]]*60%+StudentData[[#This Row],[Engagement_Score]]*30%+MIN(StudentData[[#This Row],[Study_Hours_per_Week]],20)/20*100*10%</f>
        <v>25.627200000000002</v>
      </c>
      <c r="N471" s="3" t="str" cm="1">
        <f t="array" ref="N47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71" s="3" t="str">
        <f t="shared" si="14"/>
        <v>High Risk</v>
      </c>
      <c r="P471" s="3" t="str">
        <f t="shared" si="15"/>
        <v>21-23</v>
      </c>
    </row>
    <row r="472" spans="1:16">
      <c r="A472" t="s">
        <v>506</v>
      </c>
      <c r="B472">
        <v>22</v>
      </c>
      <c r="C472" t="s">
        <v>4</v>
      </c>
      <c r="D472">
        <v>51.21</v>
      </c>
      <c r="E472">
        <v>2</v>
      </c>
      <c r="F472">
        <v>9.15</v>
      </c>
      <c r="G472">
        <v>61.2</v>
      </c>
      <c r="H472">
        <v>43.2</v>
      </c>
      <c r="I472">
        <v>4</v>
      </c>
      <c r="J472">
        <v>3</v>
      </c>
      <c r="K472">
        <f>(StudentData[[#This Row],[Midterm_Grade]]*40%)+(StudentData[[#This Row],[Final_Grade]]*60%)</f>
        <v>50.400000000000006</v>
      </c>
      <c r="L472">
        <f>StudentData[[#This Row],[Attendance_Percentage]]*40%+StudentData[[#This Row],[Assignments_Completed]]*2+StudentData[[#This Row],[Class_Participation]]*2+StudentData[[#This Row],[Projects_Submitted]]*4</f>
        <v>54.784000000000006</v>
      </c>
      <c r="M472">
        <f>StudentData[[#This Row],[Academic_Score]]*60%+StudentData[[#This Row],[Engagement_Score]]*30%+MIN(StudentData[[#This Row],[Study_Hours_per_Week]],20)/20*100*10%</f>
        <v>48.675200000000004</v>
      </c>
      <c r="N472" s="3" t="str" cm="1">
        <f t="array" ref="N47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72" s="3" t="str">
        <f t="shared" si="14"/>
        <v>Medium Risk</v>
      </c>
      <c r="P472" s="3" t="str">
        <f t="shared" si="15"/>
        <v>21-23</v>
      </c>
    </row>
    <row r="473" spans="1:16">
      <c r="A473" t="s">
        <v>507</v>
      </c>
      <c r="B473">
        <v>25</v>
      </c>
      <c r="C473" t="s">
        <v>6</v>
      </c>
      <c r="D473">
        <v>91.58</v>
      </c>
      <c r="E473">
        <v>2</v>
      </c>
      <c r="F473">
        <v>1.89</v>
      </c>
      <c r="G473">
        <v>30.63</v>
      </c>
      <c r="H473">
        <v>3.3</v>
      </c>
      <c r="I473">
        <v>6</v>
      </c>
      <c r="J473">
        <v>2</v>
      </c>
      <c r="K473">
        <f>(StudentData[[#This Row],[Midterm_Grade]]*40%)+(StudentData[[#This Row],[Final_Grade]]*60%)</f>
        <v>14.232000000000001</v>
      </c>
      <c r="L473">
        <f>StudentData[[#This Row],[Attendance_Percentage]]*40%+StudentData[[#This Row],[Assignments_Completed]]*2+StudentData[[#This Row],[Class_Participation]]*2+StudentData[[#This Row],[Projects_Submitted]]*4</f>
        <v>52.411999999999999</v>
      </c>
      <c r="M473">
        <f>StudentData[[#This Row],[Academic_Score]]*60%+StudentData[[#This Row],[Engagement_Score]]*30%+MIN(StudentData[[#This Row],[Study_Hours_per_Week]],20)/20*100*10%</f>
        <v>27.262799999999999</v>
      </c>
      <c r="N473" s="3" t="str" cm="1">
        <f t="array" ref="N47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73" s="3" t="str">
        <f t="shared" si="14"/>
        <v>Medium Risk</v>
      </c>
      <c r="P473" s="3" t="str">
        <f t="shared" si="15"/>
        <v>24-25</v>
      </c>
    </row>
    <row r="474" spans="1:16">
      <c r="A474" t="s">
        <v>508</v>
      </c>
      <c r="B474">
        <v>20</v>
      </c>
      <c r="C474" t="s">
        <v>4</v>
      </c>
      <c r="D474">
        <v>63.65</v>
      </c>
      <c r="E474">
        <v>0</v>
      </c>
      <c r="F474">
        <v>9.2200000000000006</v>
      </c>
      <c r="G474">
        <v>32.61</v>
      </c>
      <c r="H474">
        <v>95.39</v>
      </c>
      <c r="I474">
        <v>19</v>
      </c>
      <c r="J474">
        <v>4</v>
      </c>
      <c r="K474">
        <f>(StudentData[[#This Row],[Midterm_Grade]]*40%)+(StudentData[[#This Row],[Final_Grade]]*60%)</f>
        <v>70.278000000000006</v>
      </c>
      <c r="L474">
        <f>StudentData[[#This Row],[Attendance_Percentage]]*40%+StudentData[[#This Row],[Assignments_Completed]]*2+StudentData[[#This Row],[Class_Participation]]*2+StudentData[[#This Row],[Projects_Submitted]]*4</f>
        <v>59.900000000000006</v>
      </c>
      <c r="M474">
        <f>StudentData[[#This Row],[Academic_Score]]*60%+StudentData[[#This Row],[Engagement_Score]]*30%+MIN(StudentData[[#This Row],[Study_Hours_per_Week]],20)/20*100*10%</f>
        <v>69.636800000000008</v>
      </c>
      <c r="N474" s="3" t="str" cm="1">
        <f t="array" ref="N474">_xlfn.IFS(StudentData[[#This Row],[Success_Score]]&gt;=85,"Exceptional",StudentData[[#This Row],[Success_Score]]&gt;=70,"Strong",StudentData[[#This Row],[Success_Score]]&gt;=55,"Developing",TRUE,"Needs Improvement")</f>
        <v>Developing</v>
      </c>
      <c r="O474" s="3" t="str">
        <f t="shared" si="14"/>
        <v>Medium Risk</v>
      </c>
      <c r="P474" s="3" t="str">
        <f t="shared" si="15"/>
        <v>18-20</v>
      </c>
    </row>
    <row r="475" spans="1:16">
      <c r="A475" t="s">
        <v>509</v>
      </c>
      <c r="B475">
        <v>21</v>
      </c>
      <c r="C475" t="s">
        <v>5</v>
      </c>
      <c r="D475">
        <v>75.900000000000006</v>
      </c>
      <c r="E475">
        <v>6</v>
      </c>
      <c r="F475">
        <v>6.96</v>
      </c>
      <c r="G475">
        <v>7.09</v>
      </c>
      <c r="H475">
        <v>20.99</v>
      </c>
      <c r="I475">
        <v>0</v>
      </c>
      <c r="J475">
        <v>1</v>
      </c>
      <c r="K475">
        <f>(StudentData[[#This Row],[Midterm_Grade]]*40%)+(StudentData[[#This Row],[Final_Grade]]*60%)</f>
        <v>15.43</v>
      </c>
      <c r="L475">
        <f>StudentData[[#This Row],[Attendance_Percentage]]*40%+StudentData[[#This Row],[Assignments_Completed]]*2+StudentData[[#This Row],[Class_Participation]]*2+StudentData[[#This Row],[Projects_Submitted]]*4</f>
        <v>60.28</v>
      </c>
      <c r="M475">
        <f>StudentData[[#This Row],[Academic_Score]]*60%+StudentData[[#This Row],[Engagement_Score]]*30%+MIN(StudentData[[#This Row],[Study_Hours_per_Week]],20)/20*100*10%</f>
        <v>27.341999999999999</v>
      </c>
      <c r="N475" s="3" t="str" cm="1">
        <f t="array" ref="N47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75" s="3" t="str">
        <f t="shared" si="14"/>
        <v>Medium Risk</v>
      </c>
      <c r="P475" s="3" t="str">
        <f t="shared" si="15"/>
        <v>21-23</v>
      </c>
    </row>
    <row r="476" spans="1:16">
      <c r="A476" t="s">
        <v>510</v>
      </c>
      <c r="B476">
        <v>20</v>
      </c>
      <c r="C476" t="s">
        <v>5</v>
      </c>
      <c r="D476">
        <v>64.94</v>
      </c>
      <c r="E476">
        <v>10</v>
      </c>
      <c r="F476">
        <v>6.11</v>
      </c>
      <c r="G476">
        <v>34.979999999999997</v>
      </c>
      <c r="H476">
        <v>78.89</v>
      </c>
      <c r="I476">
        <v>13</v>
      </c>
      <c r="J476">
        <v>1</v>
      </c>
      <c r="K476">
        <f>(StudentData[[#This Row],[Midterm_Grade]]*40%)+(StudentData[[#This Row],[Final_Grade]]*60%)</f>
        <v>61.325999999999993</v>
      </c>
      <c r="L476">
        <f>StudentData[[#This Row],[Attendance_Percentage]]*40%+StudentData[[#This Row],[Assignments_Completed]]*2+StudentData[[#This Row],[Class_Participation]]*2+StudentData[[#This Row],[Projects_Submitted]]*4</f>
        <v>62.195999999999998</v>
      </c>
      <c r="M476">
        <f>StudentData[[#This Row],[Academic_Score]]*60%+StudentData[[#This Row],[Engagement_Score]]*30%+MIN(StudentData[[#This Row],[Study_Hours_per_Week]],20)/20*100*10%</f>
        <v>61.954399999999993</v>
      </c>
      <c r="N476" s="3" t="str" cm="1">
        <f t="array" ref="N476">_xlfn.IFS(StudentData[[#This Row],[Success_Score]]&gt;=85,"Exceptional",StudentData[[#This Row],[Success_Score]]&gt;=70,"Strong",StudentData[[#This Row],[Success_Score]]&gt;=55,"Developing",TRUE,"Needs Improvement")</f>
        <v>Developing</v>
      </c>
      <c r="O476" s="3" t="str">
        <f t="shared" si="14"/>
        <v>Medium Risk</v>
      </c>
      <c r="P476" s="3" t="str">
        <f t="shared" si="15"/>
        <v>18-20</v>
      </c>
    </row>
    <row r="477" spans="1:16">
      <c r="A477" t="s">
        <v>511</v>
      </c>
      <c r="B477">
        <v>25</v>
      </c>
      <c r="C477" t="s">
        <v>5</v>
      </c>
      <c r="D477">
        <v>97.03</v>
      </c>
      <c r="E477">
        <v>9</v>
      </c>
      <c r="F477">
        <v>2</v>
      </c>
      <c r="G477">
        <v>86.25</v>
      </c>
      <c r="H477">
        <v>77.459999999999994</v>
      </c>
      <c r="I477">
        <v>3</v>
      </c>
      <c r="J477">
        <v>0</v>
      </c>
      <c r="K477">
        <f>(StudentData[[#This Row],[Midterm_Grade]]*40%)+(StudentData[[#This Row],[Final_Grade]]*60%)</f>
        <v>80.975999999999999</v>
      </c>
      <c r="L477">
        <f>StudentData[[#This Row],[Attendance_Percentage]]*40%+StudentData[[#This Row],[Assignments_Completed]]*2+StudentData[[#This Row],[Class_Participation]]*2+StudentData[[#This Row],[Projects_Submitted]]*4</f>
        <v>60.812000000000005</v>
      </c>
      <c r="M477">
        <f>StudentData[[#This Row],[Academic_Score]]*60%+StudentData[[#This Row],[Engagement_Score]]*30%+MIN(StudentData[[#This Row],[Study_Hours_per_Week]],20)/20*100*10%</f>
        <v>68.3292</v>
      </c>
      <c r="N477" s="3" t="str" cm="1">
        <f t="array" ref="N477">_xlfn.IFS(StudentData[[#This Row],[Success_Score]]&gt;=85,"Exceptional",StudentData[[#This Row],[Success_Score]]&gt;=70,"Strong",StudentData[[#This Row],[Success_Score]]&gt;=55,"Developing",TRUE,"Needs Improvement")</f>
        <v>Developing</v>
      </c>
      <c r="O477" s="3" t="str">
        <f t="shared" si="14"/>
        <v>Low Risk</v>
      </c>
      <c r="P477" s="3" t="str">
        <f t="shared" si="15"/>
        <v>24-25</v>
      </c>
    </row>
    <row r="478" spans="1:16">
      <c r="A478" t="s">
        <v>512</v>
      </c>
      <c r="B478">
        <v>18</v>
      </c>
      <c r="C478" t="s">
        <v>4</v>
      </c>
      <c r="D478">
        <v>62.96</v>
      </c>
      <c r="E478">
        <v>0</v>
      </c>
      <c r="F478">
        <v>0.56000000000000005</v>
      </c>
      <c r="G478">
        <v>23.31</v>
      </c>
      <c r="H478">
        <v>21.77</v>
      </c>
      <c r="I478">
        <v>16</v>
      </c>
      <c r="J478">
        <v>0</v>
      </c>
      <c r="K478">
        <f>(StudentData[[#This Row],[Midterm_Grade]]*40%)+(StudentData[[#This Row],[Final_Grade]]*60%)</f>
        <v>22.385999999999999</v>
      </c>
      <c r="L478">
        <f>StudentData[[#This Row],[Attendance_Percentage]]*40%+StudentData[[#This Row],[Assignments_Completed]]*2+StudentData[[#This Row],[Class_Participation]]*2+StudentData[[#This Row],[Projects_Submitted]]*4</f>
        <v>26.304000000000002</v>
      </c>
      <c r="M478">
        <f>StudentData[[#This Row],[Academic_Score]]*60%+StudentData[[#This Row],[Engagement_Score]]*30%+MIN(StudentData[[#This Row],[Study_Hours_per_Week]],20)/20*100*10%</f>
        <v>29.322800000000001</v>
      </c>
      <c r="N478" s="3" t="str" cm="1">
        <f t="array" ref="N47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78" s="3" t="str">
        <f t="shared" si="14"/>
        <v>Medium Risk</v>
      </c>
      <c r="P478" s="3" t="str">
        <f t="shared" si="15"/>
        <v>18-20</v>
      </c>
    </row>
    <row r="479" spans="1:16">
      <c r="A479" t="s">
        <v>513</v>
      </c>
      <c r="B479">
        <v>25</v>
      </c>
      <c r="C479" t="s">
        <v>5</v>
      </c>
      <c r="D479">
        <v>71.48</v>
      </c>
      <c r="E479">
        <v>1</v>
      </c>
      <c r="F479">
        <v>5.68</v>
      </c>
      <c r="G479">
        <v>69.52</v>
      </c>
      <c r="H479">
        <v>62.12</v>
      </c>
      <c r="I479">
        <v>13</v>
      </c>
      <c r="J479">
        <v>3</v>
      </c>
      <c r="K479">
        <f>(StudentData[[#This Row],[Midterm_Grade]]*40%)+(StudentData[[#This Row],[Final_Grade]]*60%)</f>
        <v>65.08</v>
      </c>
      <c r="L479">
        <f>StudentData[[#This Row],[Attendance_Percentage]]*40%+StudentData[[#This Row],[Assignments_Completed]]*2+StudentData[[#This Row],[Class_Participation]]*2+StudentData[[#This Row],[Projects_Submitted]]*4</f>
        <v>53.951999999999998</v>
      </c>
      <c r="M479">
        <f>StudentData[[#This Row],[Academic_Score]]*60%+StudentData[[#This Row],[Engagement_Score]]*30%+MIN(StudentData[[#This Row],[Study_Hours_per_Week]],20)/20*100*10%</f>
        <v>61.733599999999996</v>
      </c>
      <c r="N479" s="3" t="str" cm="1">
        <f t="array" ref="N479">_xlfn.IFS(StudentData[[#This Row],[Success_Score]]&gt;=85,"Exceptional",StudentData[[#This Row],[Success_Score]]&gt;=70,"Strong",StudentData[[#This Row],[Success_Score]]&gt;=55,"Developing",TRUE,"Needs Improvement")</f>
        <v>Developing</v>
      </c>
      <c r="O479" s="3" t="str">
        <f t="shared" si="14"/>
        <v>Low Risk</v>
      </c>
      <c r="P479" s="3" t="str">
        <f t="shared" si="15"/>
        <v>24-25</v>
      </c>
    </row>
    <row r="480" spans="1:16">
      <c r="A480" t="s">
        <v>514</v>
      </c>
      <c r="B480">
        <v>18</v>
      </c>
      <c r="C480" t="s">
        <v>4</v>
      </c>
      <c r="D480">
        <v>93.64</v>
      </c>
      <c r="E480">
        <v>3</v>
      </c>
      <c r="F480">
        <v>6.52</v>
      </c>
      <c r="G480">
        <v>62.96</v>
      </c>
      <c r="H480">
        <v>4.8099999999999996</v>
      </c>
      <c r="I480">
        <v>15</v>
      </c>
      <c r="J480">
        <v>5</v>
      </c>
      <c r="K480">
        <f>(StudentData[[#This Row],[Midterm_Grade]]*40%)+(StudentData[[#This Row],[Final_Grade]]*60%)</f>
        <v>28.07</v>
      </c>
      <c r="L480">
        <f>StudentData[[#This Row],[Attendance_Percentage]]*40%+StudentData[[#This Row],[Assignments_Completed]]*2+StudentData[[#This Row],[Class_Participation]]*2+StudentData[[#This Row],[Projects_Submitted]]*4</f>
        <v>76.496000000000009</v>
      </c>
      <c r="M480">
        <f>StudentData[[#This Row],[Academic_Score]]*60%+StudentData[[#This Row],[Engagement_Score]]*30%+MIN(StudentData[[#This Row],[Study_Hours_per_Week]],20)/20*100*10%</f>
        <v>47.290800000000004</v>
      </c>
      <c r="N480" s="3" t="str" cm="1">
        <f t="array" ref="N48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80" s="3" t="str">
        <f t="shared" si="14"/>
        <v>Medium Risk</v>
      </c>
      <c r="P480" s="3" t="str">
        <f t="shared" si="15"/>
        <v>18-20</v>
      </c>
    </row>
    <row r="481" spans="1:16">
      <c r="A481" t="s">
        <v>515</v>
      </c>
      <c r="B481">
        <v>21</v>
      </c>
      <c r="C481" t="s">
        <v>4</v>
      </c>
      <c r="D481">
        <v>92.1</v>
      </c>
      <c r="E481">
        <v>3</v>
      </c>
      <c r="F481">
        <v>2.11</v>
      </c>
      <c r="G481">
        <v>86.35</v>
      </c>
      <c r="H481">
        <v>48.36</v>
      </c>
      <c r="I481">
        <v>13</v>
      </c>
      <c r="J481">
        <v>3</v>
      </c>
      <c r="K481">
        <f>(StudentData[[#This Row],[Midterm_Grade]]*40%)+(StudentData[[#This Row],[Final_Grade]]*60%)</f>
        <v>63.555999999999997</v>
      </c>
      <c r="L481">
        <f>StudentData[[#This Row],[Attendance_Percentage]]*40%+StudentData[[#This Row],[Assignments_Completed]]*2+StudentData[[#This Row],[Class_Participation]]*2+StudentData[[#This Row],[Projects_Submitted]]*4</f>
        <v>59.059999999999995</v>
      </c>
      <c r="M481">
        <f>StudentData[[#This Row],[Academic_Score]]*60%+StudentData[[#This Row],[Engagement_Score]]*30%+MIN(StudentData[[#This Row],[Study_Hours_per_Week]],20)/20*100*10%</f>
        <v>62.351599999999991</v>
      </c>
      <c r="N481" s="3" t="str" cm="1">
        <f t="array" ref="N481">_xlfn.IFS(StudentData[[#This Row],[Success_Score]]&gt;=85,"Exceptional",StudentData[[#This Row],[Success_Score]]&gt;=70,"Strong",StudentData[[#This Row],[Success_Score]]&gt;=55,"Developing",TRUE,"Needs Improvement")</f>
        <v>Developing</v>
      </c>
      <c r="O481" s="3" t="str">
        <f t="shared" si="14"/>
        <v>Low Risk</v>
      </c>
      <c r="P481" s="3" t="str">
        <f t="shared" si="15"/>
        <v>21-23</v>
      </c>
    </row>
    <row r="482" spans="1:16">
      <c r="A482" t="s">
        <v>516</v>
      </c>
      <c r="B482">
        <v>21</v>
      </c>
      <c r="C482" t="s">
        <v>5</v>
      </c>
      <c r="D482">
        <v>59.31</v>
      </c>
      <c r="E482">
        <v>4</v>
      </c>
      <c r="F482">
        <v>5.56</v>
      </c>
      <c r="G482">
        <v>13.23</v>
      </c>
      <c r="H482">
        <v>1.46</v>
      </c>
      <c r="I482">
        <v>15</v>
      </c>
      <c r="J482">
        <v>4</v>
      </c>
      <c r="K482">
        <f>(StudentData[[#This Row],[Midterm_Grade]]*40%)+(StudentData[[#This Row],[Final_Grade]]*60%)</f>
        <v>6.168000000000001</v>
      </c>
      <c r="L482">
        <f>StudentData[[#This Row],[Attendance_Percentage]]*40%+StudentData[[#This Row],[Assignments_Completed]]*2+StudentData[[#This Row],[Class_Participation]]*2+StudentData[[#This Row],[Projects_Submitted]]*4</f>
        <v>58.844000000000001</v>
      </c>
      <c r="M482">
        <f>StudentData[[#This Row],[Academic_Score]]*60%+StudentData[[#This Row],[Engagement_Score]]*30%+MIN(StudentData[[#This Row],[Study_Hours_per_Week]],20)/20*100*10%</f>
        <v>28.853999999999999</v>
      </c>
      <c r="N482" s="3" t="str" cm="1">
        <f t="array" ref="N48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82" s="3" t="str">
        <f t="shared" si="14"/>
        <v>High Risk</v>
      </c>
      <c r="P482" s="3" t="str">
        <f t="shared" si="15"/>
        <v>21-23</v>
      </c>
    </row>
    <row r="483" spans="1:16">
      <c r="A483" t="s">
        <v>517</v>
      </c>
      <c r="B483">
        <v>23</v>
      </c>
      <c r="C483" t="s">
        <v>4</v>
      </c>
      <c r="D483">
        <v>90.13</v>
      </c>
      <c r="E483">
        <v>10</v>
      </c>
      <c r="F483">
        <v>8.56</v>
      </c>
      <c r="G483">
        <v>97.76</v>
      </c>
      <c r="H483">
        <v>92.11</v>
      </c>
      <c r="I483">
        <v>19</v>
      </c>
      <c r="J483">
        <v>0</v>
      </c>
      <c r="K483">
        <f>(StudentData[[#This Row],[Midterm_Grade]]*40%)+(StudentData[[#This Row],[Final_Grade]]*60%)</f>
        <v>94.37</v>
      </c>
      <c r="L483">
        <f>StudentData[[#This Row],[Attendance_Percentage]]*40%+StudentData[[#This Row],[Assignments_Completed]]*2+StudentData[[#This Row],[Class_Participation]]*2+StudentData[[#This Row],[Projects_Submitted]]*4</f>
        <v>73.171999999999997</v>
      </c>
      <c r="M483">
        <f>StudentData[[#This Row],[Academic_Score]]*60%+StudentData[[#This Row],[Engagement_Score]]*30%+MIN(StudentData[[#This Row],[Study_Hours_per_Week]],20)/20*100*10%</f>
        <v>88.073599999999999</v>
      </c>
      <c r="N483" s="3" t="str" cm="1">
        <f t="array" ref="N483">_xlfn.IFS(StudentData[[#This Row],[Success_Score]]&gt;=85,"Exceptional",StudentData[[#This Row],[Success_Score]]&gt;=70,"Strong",StudentData[[#This Row],[Success_Score]]&gt;=55,"Developing",TRUE,"Needs Improvement")</f>
        <v>Exceptional</v>
      </c>
      <c r="O483" s="3" t="str">
        <f t="shared" si="14"/>
        <v>Low Risk</v>
      </c>
      <c r="P483" s="3" t="str">
        <f t="shared" si="15"/>
        <v>21-23</v>
      </c>
    </row>
    <row r="484" spans="1:16">
      <c r="A484" t="s">
        <v>518</v>
      </c>
      <c r="B484">
        <v>22</v>
      </c>
      <c r="C484" t="s">
        <v>5</v>
      </c>
      <c r="D484">
        <v>72.91</v>
      </c>
      <c r="E484">
        <v>1</v>
      </c>
      <c r="F484">
        <v>8.35</v>
      </c>
      <c r="G484">
        <v>58.26</v>
      </c>
      <c r="H484">
        <v>97.61</v>
      </c>
      <c r="I484">
        <v>7</v>
      </c>
      <c r="J484">
        <v>0</v>
      </c>
      <c r="K484">
        <f>(StudentData[[#This Row],[Midterm_Grade]]*40%)+(StudentData[[#This Row],[Final_Grade]]*60%)</f>
        <v>81.87</v>
      </c>
      <c r="L484">
        <f>StudentData[[#This Row],[Attendance_Percentage]]*40%+StudentData[[#This Row],[Assignments_Completed]]*2+StudentData[[#This Row],[Class_Participation]]*2+StudentData[[#This Row],[Projects_Submitted]]*4</f>
        <v>47.864000000000004</v>
      </c>
      <c r="M484">
        <f>StudentData[[#This Row],[Academic_Score]]*60%+StudentData[[#This Row],[Engagement_Score]]*30%+MIN(StudentData[[#This Row],[Study_Hours_per_Week]],20)/20*100*10%</f>
        <v>66.981200000000001</v>
      </c>
      <c r="N484" s="3" t="str" cm="1">
        <f t="array" ref="N484">_xlfn.IFS(StudentData[[#This Row],[Success_Score]]&gt;=85,"Exceptional",StudentData[[#This Row],[Success_Score]]&gt;=70,"Strong",StudentData[[#This Row],[Success_Score]]&gt;=55,"Developing",TRUE,"Needs Improvement")</f>
        <v>Developing</v>
      </c>
      <c r="O484" s="3" t="str">
        <f t="shared" si="14"/>
        <v>Low Risk</v>
      </c>
      <c r="P484" s="3" t="str">
        <f t="shared" si="15"/>
        <v>21-23</v>
      </c>
    </row>
    <row r="485" spans="1:16">
      <c r="A485" t="s">
        <v>519</v>
      </c>
      <c r="B485">
        <v>23</v>
      </c>
      <c r="C485" t="s">
        <v>5</v>
      </c>
      <c r="D485">
        <v>74.150000000000006</v>
      </c>
      <c r="E485">
        <v>3</v>
      </c>
      <c r="F485">
        <v>9.27</v>
      </c>
      <c r="G485">
        <v>99.55</v>
      </c>
      <c r="H485">
        <v>22.23</v>
      </c>
      <c r="I485">
        <v>2</v>
      </c>
      <c r="J485">
        <v>3</v>
      </c>
      <c r="K485">
        <f>(StudentData[[#This Row],[Midterm_Grade]]*40%)+(StudentData[[#This Row],[Final_Grade]]*60%)</f>
        <v>53.158000000000001</v>
      </c>
      <c r="L485">
        <f>StudentData[[#This Row],[Attendance_Percentage]]*40%+StudentData[[#This Row],[Assignments_Completed]]*2+StudentData[[#This Row],[Class_Participation]]*2+StudentData[[#This Row],[Projects_Submitted]]*4</f>
        <v>66.2</v>
      </c>
      <c r="M485">
        <f>StudentData[[#This Row],[Academic_Score]]*60%+StudentData[[#This Row],[Engagement_Score]]*30%+MIN(StudentData[[#This Row],[Study_Hours_per_Week]],20)/20*100*10%</f>
        <v>52.754800000000003</v>
      </c>
      <c r="N485" s="3" t="str" cm="1">
        <f t="array" ref="N48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85" s="3" t="str">
        <f t="shared" si="14"/>
        <v>Medium Risk</v>
      </c>
      <c r="P485" s="3" t="str">
        <f t="shared" si="15"/>
        <v>21-23</v>
      </c>
    </row>
    <row r="486" spans="1:16">
      <c r="A486" t="s">
        <v>520</v>
      </c>
      <c r="B486">
        <v>22</v>
      </c>
      <c r="C486" t="s">
        <v>4</v>
      </c>
      <c r="D486">
        <v>56.67</v>
      </c>
      <c r="E486">
        <v>0</v>
      </c>
      <c r="F486">
        <v>3.66</v>
      </c>
      <c r="G486">
        <v>91.15</v>
      </c>
      <c r="H486">
        <v>20.81</v>
      </c>
      <c r="I486">
        <v>18</v>
      </c>
      <c r="J486">
        <v>3</v>
      </c>
      <c r="K486">
        <f>(StudentData[[#This Row],[Midterm_Grade]]*40%)+(StudentData[[#This Row],[Final_Grade]]*60%)</f>
        <v>48.945999999999998</v>
      </c>
      <c r="L486">
        <f>StudentData[[#This Row],[Attendance_Percentage]]*40%+StudentData[[#This Row],[Assignments_Completed]]*2+StudentData[[#This Row],[Class_Participation]]*2+StudentData[[#This Row],[Projects_Submitted]]*4</f>
        <v>41.988</v>
      </c>
      <c r="M486">
        <f>StudentData[[#This Row],[Academic_Score]]*60%+StudentData[[#This Row],[Engagement_Score]]*30%+MIN(StudentData[[#This Row],[Study_Hours_per_Week]],20)/20*100*10%</f>
        <v>50.963999999999999</v>
      </c>
      <c r="N486" s="3" t="str" cm="1">
        <f t="array" ref="N48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86" s="3" t="str">
        <f t="shared" si="14"/>
        <v>High Risk</v>
      </c>
      <c r="P486" s="3" t="str">
        <f t="shared" si="15"/>
        <v>21-23</v>
      </c>
    </row>
    <row r="487" spans="1:16">
      <c r="A487" t="s">
        <v>521</v>
      </c>
      <c r="B487">
        <v>23</v>
      </c>
      <c r="C487" t="s">
        <v>4</v>
      </c>
      <c r="D487">
        <v>54.03</v>
      </c>
      <c r="E487">
        <v>1</v>
      </c>
      <c r="F487">
        <v>3.18</v>
      </c>
      <c r="G487">
        <v>22.15</v>
      </c>
      <c r="H487">
        <v>75.37</v>
      </c>
      <c r="I487">
        <v>0</v>
      </c>
      <c r="J487">
        <v>3</v>
      </c>
      <c r="K487">
        <f>(StudentData[[#This Row],[Midterm_Grade]]*40%)+(StudentData[[#This Row],[Final_Grade]]*60%)</f>
        <v>54.082000000000001</v>
      </c>
      <c r="L487">
        <f>StudentData[[#This Row],[Attendance_Percentage]]*40%+StudentData[[#This Row],[Assignments_Completed]]*2+StudentData[[#This Row],[Class_Participation]]*2+StudentData[[#This Row],[Projects_Submitted]]*4</f>
        <v>41.972000000000001</v>
      </c>
      <c r="M487">
        <f>StudentData[[#This Row],[Academic_Score]]*60%+StudentData[[#This Row],[Engagement_Score]]*30%+MIN(StudentData[[#This Row],[Study_Hours_per_Week]],20)/20*100*10%</f>
        <v>45.040799999999997</v>
      </c>
      <c r="N487" s="3" t="str" cm="1">
        <f t="array" ref="N48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87" s="3" t="str">
        <f t="shared" si="14"/>
        <v>Medium Risk</v>
      </c>
      <c r="P487" s="3" t="str">
        <f t="shared" si="15"/>
        <v>21-23</v>
      </c>
    </row>
    <row r="488" spans="1:16">
      <c r="A488" t="s">
        <v>522</v>
      </c>
      <c r="B488">
        <v>20</v>
      </c>
      <c r="C488" t="s">
        <v>4</v>
      </c>
      <c r="D488">
        <v>86.4</v>
      </c>
      <c r="E488">
        <v>0</v>
      </c>
      <c r="F488">
        <v>7.49</v>
      </c>
      <c r="G488">
        <v>5.62</v>
      </c>
      <c r="H488">
        <v>25.34</v>
      </c>
      <c r="I488">
        <v>1</v>
      </c>
      <c r="J488">
        <v>1</v>
      </c>
      <c r="K488">
        <f>(StudentData[[#This Row],[Midterm_Grade]]*40%)+(StudentData[[#This Row],[Final_Grade]]*60%)</f>
        <v>17.451999999999998</v>
      </c>
      <c r="L488">
        <f>StudentData[[#This Row],[Attendance_Percentage]]*40%+StudentData[[#This Row],[Assignments_Completed]]*2+StudentData[[#This Row],[Class_Participation]]*2+StudentData[[#This Row],[Projects_Submitted]]*4</f>
        <v>53.540000000000006</v>
      </c>
      <c r="M488">
        <f>StudentData[[#This Row],[Academic_Score]]*60%+StudentData[[#This Row],[Engagement_Score]]*30%+MIN(StudentData[[#This Row],[Study_Hours_per_Week]],20)/20*100*10%</f>
        <v>27.033200000000001</v>
      </c>
      <c r="N488" s="3" t="str" cm="1">
        <f t="array" ref="N48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88" s="3" t="str">
        <f t="shared" si="14"/>
        <v>Medium Risk</v>
      </c>
      <c r="P488" s="3" t="str">
        <f t="shared" si="15"/>
        <v>18-20</v>
      </c>
    </row>
    <row r="489" spans="1:16">
      <c r="A489" t="s">
        <v>523</v>
      </c>
      <c r="B489">
        <v>21</v>
      </c>
      <c r="C489" t="s">
        <v>5</v>
      </c>
      <c r="D489">
        <v>74.819999999999993</v>
      </c>
      <c r="E489">
        <v>9</v>
      </c>
      <c r="F489">
        <v>4.3099999999999996</v>
      </c>
      <c r="G489">
        <v>25.56</v>
      </c>
      <c r="H489">
        <v>89.51</v>
      </c>
      <c r="I489">
        <v>14</v>
      </c>
      <c r="J489">
        <v>2</v>
      </c>
      <c r="K489">
        <f>(StudentData[[#This Row],[Midterm_Grade]]*40%)+(StudentData[[#This Row],[Final_Grade]]*60%)</f>
        <v>63.930000000000007</v>
      </c>
      <c r="L489">
        <f>StudentData[[#This Row],[Attendance_Percentage]]*40%+StudentData[[#This Row],[Assignments_Completed]]*2+StudentData[[#This Row],[Class_Participation]]*2+StudentData[[#This Row],[Projects_Submitted]]*4</f>
        <v>64.548000000000002</v>
      </c>
      <c r="M489">
        <f>StudentData[[#This Row],[Academic_Score]]*60%+StudentData[[#This Row],[Engagement_Score]]*30%+MIN(StudentData[[#This Row],[Study_Hours_per_Week]],20)/20*100*10%</f>
        <v>64.722400000000007</v>
      </c>
      <c r="N489" s="3" t="str" cm="1">
        <f t="array" ref="N489">_xlfn.IFS(StudentData[[#This Row],[Success_Score]]&gt;=85,"Exceptional",StudentData[[#This Row],[Success_Score]]&gt;=70,"Strong",StudentData[[#This Row],[Success_Score]]&gt;=55,"Developing",TRUE,"Needs Improvement")</f>
        <v>Developing</v>
      </c>
      <c r="O489" s="3" t="str">
        <f t="shared" si="14"/>
        <v>Low Risk</v>
      </c>
      <c r="P489" s="3" t="str">
        <f t="shared" si="15"/>
        <v>21-23</v>
      </c>
    </row>
    <row r="490" spans="1:16">
      <c r="A490" t="s">
        <v>524</v>
      </c>
      <c r="B490">
        <v>18</v>
      </c>
      <c r="C490" t="s">
        <v>5</v>
      </c>
      <c r="D490">
        <v>71.84</v>
      </c>
      <c r="E490">
        <v>9</v>
      </c>
      <c r="F490">
        <v>0.88</v>
      </c>
      <c r="G490">
        <v>52.76</v>
      </c>
      <c r="H490">
        <v>57.39</v>
      </c>
      <c r="I490">
        <v>9</v>
      </c>
      <c r="J490">
        <v>2</v>
      </c>
      <c r="K490">
        <f>(StudentData[[#This Row],[Midterm_Grade]]*40%)+(StudentData[[#This Row],[Final_Grade]]*60%)</f>
        <v>55.537999999999997</v>
      </c>
      <c r="L490">
        <f>StudentData[[#This Row],[Attendance_Percentage]]*40%+StudentData[[#This Row],[Assignments_Completed]]*2+StudentData[[#This Row],[Class_Participation]]*2+StudentData[[#This Row],[Projects_Submitted]]*4</f>
        <v>56.496000000000002</v>
      </c>
      <c r="M490">
        <f>StudentData[[#This Row],[Academic_Score]]*60%+StudentData[[#This Row],[Engagement_Score]]*30%+MIN(StudentData[[#This Row],[Study_Hours_per_Week]],20)/20*100*10%</f>
        <v>54.771599999999992</v>
      </c>
      <c r="N490" s="3" t="str" cm="1">
        <f t="array" ref="N49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90" s="3" t="str">
        <f t="shared" si="14"/>
        <v>Medium Risk</v>
      </c>
      <c r="P490" s="3" t="str">
        <f t="shared" si="15"/>
        <v>18-20</v>
      </c>
    </row>
    <row r="491" spans="1:16">
      <c r="A491" t="s">
        <v>525</v>
      </c>
      <c r="B491">
        <v>22</v>
      </c>
      <c r="C491" t="s">
        <v>4</v>
      </c>
      <c r="D491">
        <v>86.48</v>
      </c>
      <c r="E491">
        <v>3</v>
      </c>
      <c r="F491">
        <v>2.83</v>
      </c>
      <c r="G491">
        <v>17.16</v>
      </c>
      <c r="H491">
        <v>35.08</v>
      </c>
      <c r="I491">
        <v>17</v>
      </c>
      <c r="J491">
        <v>0</v>
      </c>
      <c r="K491">
        <f>(StudentData[[#This Row],[Midterm_Grade]]*40%)+(StudentData[[#This Row],[Final_Grade]]*60%)</f>
        <v>27.911999999999999</v>
      </c>
      <c r="L491">
        <f>StudentData[[#This Row],[Attendance_Percentage]]*40%+StudentData[[#This Row],[Assignments_Completed]]*2+StudentData[[#This Row],[Class_Participation]]*2+StudentData[[#This Row],[Projects_Submitted]]*4</f>
        <v>46.25200000000001</v>
      </c>
      <c r="M491">
        <f>StudentData[[#This Row],[Academic_Score]]*60%+StudentData[[#This Row],[Engagement_Score]]*30%+MIN(StudentData[[#This Row],[Study_Hours_per_Week]],20)/20*100*10%</f>
        <v>39.122799999999998</v>
      </c>
      <c r="N491" s="3" t="str" cm="1">
        <f t="array" ref="N49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91" s="3" t="str">
        <f t="shared" si="14"/>
        <v>Medium Risk</v>
      </c>
      <c r="P491" s="3" t="str">
        <f t="shared" si="15"/>
        <v>21-23</v>
      </c>
    </row>
    <row r="492" spans="1:16">
      <c r="A492" t="s">
        <v>526</v>
      </c>
      <c r="B492">
        <v>25</v>
      </c>
      <c r="C492" t="s">
        <v>4</v>
      </c>
      <c r="D492">
        <v>88.28</v>
      </c>
      <c r="E492">
        <v>3</v>
      </c>
      <c r="F492">
        <v>4.1900000000000004</v>
      </c>
      <c r="G492">
        <v>16.75</v>
      </c>
      <c r="H492">
        <v>83.27</v>
      </c>
      <c r="I492">
        <v>13</v>
      </c>
      <c r="J492">
        <v>1</v>
      </c>
      <c r="K492">
        <f>(StudentData[[#This Row],[Midterm_Grade]]*40%)+(StudentData[[#This Row],[Final_Grade]]*60%)</f>
        <v>56.661999999999999</v>
      </c>
      <c r="L492">
        <f>StudentData[[#This Row],[Attendance_Percentage]]*40%+StudentData[[#This Row],[Assignments_Completed]]*2+StudentData[[#This Row],[Class_Participation]]*2+StudentData[[#This Row],[Projects_Submitted]]*4</f>
        <v>53.692000000000007</v>
      </c>
      <c r="M492">
        <f>StudentData[[#This Row],[Academic_Score]]*60%+StudentData[[#This Row],[Engagement_Score]]*30%+MIN(StudentData[[#This Row],[Study_Hours_per_Week]],20)/20*100*10%</f>
        <v>56.604799999999997</v>
      </c>
      <c r="N492" s="3" t="str" cm="1">
        <f t="array" ref="N492">_xlfn.IFS(StudentData[[#This Row],[Success_Score]]&gt;=85,"Exceptional",StudentData[[#This Row],[Success_Score]]&gt;=70,"Strong",StudentData[[#This Row],[Success_Score]]&gt;=55,"Developing",TRUE,"Needs Improvement")</f>
        <v>Developing</v>
      </c>
      <c r="O492" s="3" t="str">
        <f t="shared" si="14"/>
        <v>Medium Risk</v>
      </c>
      <c r="P492" s="3" t="str">
        <f t="shared" si="15"/>
        <v>24-25</v>
      </c>
    </row>
    <row r="493" spans="1:16">
      <c r="A493" t="s">
        <v>527</v>
      </c>
      <c r="B493">
        <v>22</v>
      </c>
      <c r="C493" t="s">
        <v>4</v>
      </c>
      <c r="D493">
        <v>57.95</v>
      </c>
      <c r="E493">
        <v>6</v>
      </c>
      <c r="F493">
        <v>2.93</v>
      </c>
      <c r="G493">
        <v>46.26</v>
      </c>
      <c r="H493">
        <v>49.34</v>
      </c>
      <c r="I493">
        <v>16</v>
      </c>
      <c r="J493">
        <v>3</v>
      </c>
      <c r="K493">
        <f>(StudentData[[#This Row],[Midterm_Grade]]*40%)+(StudentData[[#This Row],[Final_Grade]]*60%)</f>
        <v>48.108000000000004</v>
      </c>
      <c r="L493">
        <f>StudentData[[#This Row],[Attendance_Percentage]]*40%+StudentData[[#This Row],[Assignments_Completed]]*2+StudentData[[#This Row],[Class_Participation]]*2+StudentData[[#This Row],[Projects_Submitted]]*4</f>
        <v>53.040000000000006</v>
      </c>
      <c r="M493">
        <f>StudentData[[#This Row],[Academic_Score]]*60%+StudentData[[#This Row],[Engagement_Score]]*30%+MIN(StudentData[[#This Row],[Study_Hours_per_Week]],20)/20*100*10%</f>
        <v>52.776800000000001</v>
      </c>
      <c r="N493" s="3" t="str" cm="1">
        <f t="array" ref="N49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93" s="3" t="str">
        <f t="shared" si="14"/>
        <v>High Risk</v>
      </c>
      <c r="P493" s="3" t="str">
        <f t="shared" si="15"/>
        <v>21-23</v>
      </c>
    </row>
    <row r="494" spans="1:16">
      <c r="A494" t="s">
        <v>528</v>
      </c>
      <c r="B494">
        <v>18</v>
      </c>
      <c r="C494" t="s">
        <v>5</v>
      </c>
      <c r="D494">
        <v>80.510000000000005</v>
      </c>
      <c r="E494">
        <v>9</v>
      </c>
      <c r="F494">
        <v>3.32</v>
      </c>
      <c r="G494">
        <v>3.33</v>
      </c>
      <c r="H494">
        <v>91.16</v>
      </c>
      <c r="I494">
        <v>12</v>
      </c>
      <c r="J494">
        <v>0</v>
      </c>
      <c r="K494">
        <f>(StudentData[[#This Row],[Midterm_Grade]]*40%)+(StudentData[[#This Row],[Final_Grade]]*60%)</f>
        <v>56.027999999999999</v>
      </c>
      <c r="L494">
        <f>StudentData[[#This Row],[Attendance_Percentage]]*40%+StudentData[[#This Row],[Assignments_Completed]]*2+StudentData[[#This Row],[Class_Participation]]*2+StudentData[[#This Row],[Projects_Submitted]]*4</f>
        <v>56.844000000000001</v>
      </c>
      <c r="M494">
        <f>StudentData[[#This Row],[Academic_Score]]*60%+StudentData[[#This Row],[Engagement_Score]]*30%+MIN(StudentData[[#This Row],[Study_Hours_per_Week]],20)/20*100*10%</f>
        <v>56.67</v>
      </c>
      <c r="N494" s="3" t="str" cm="1">
        <f t="array" ref="N494">_xlfn.IFS(StudentData[[#This Row],[Success_Score]]&gt;=85,"Exceptional",StudentData[[#This Row],[Success_Score]]&gt;=70,"Strong",StudentData[[#This Row],[Success_Score]]&gt;=55,"Developing",TRUE,"Needs Improvement")</f>
        <v>Developing</v>
      </c>
      <c r="O494" s="3" t="str">
        <f t="shared" si="14"/>
        <v>Medium Risk</v>
      </c>
      <c r="P494" s="3" t="str">
        <f t="shared" si="15"/>
        <v>18-20</v>
      </c>
    </row>
    <row r="495" spans="1:16">
      <c r="A495" t="s">
        <v>529</v>
      </c>
      <c r="B495">
        <v>23</v>
      </c>
      <c r="C495" t="s">
        <v>4</v>
      </c>
      <c r="D495">
        <v>56.77</v>
      </c>
      <c r="E495">
        <v>10</v>
      </c>
      <c r="F495">
        <v>2.94</v>
      </c>
      <c r="G495">
        <v>12.19</v>
      </c>
      <c r="H495">
        <v>92.8</v>
      </c>
      <c r="I495">
        <v>0</v>
      </c>
      <c r="J495">
        <v>1</v>
      </c>
      <c r="K495">
        <f>(StudentData[[#This Row],[Midterm_Grade]]*40%)+(StudentData[[#This Row],[Final_Grade]]*60%)</f>
        <v>60.555999999999997</v>
      </c>
      <c r="L495">
        <f>StudentData[[#This Row],[Attendance_Percentage]]*40%+StudentData[[#This Row],[Assignments_Completed]]*2+StudentData[[#This Row],[Class_Participation]]*2+StudentData[[#This Row],[Projects_Submitted]]*4</f>
        <v>52.588000000000001</v>
      </c>
      <c r="M495">
        <f>StudentData[[#This Row],[Academic_Score]]*60%+StudentData[[#This Row],[Engagement_Score]]*30%+MIN(StudentData[[#This Row],[Study_Hours_per_Week]],20)/20*100*10%</f>
        <v>52.11</v>
      </c>
      <c r="N495" s="3" t="str" cm="1">
        <f t="array" ref="N49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95" s="3" t="str">
        <f t="shared" si="14"/>
        <v>Medium Risk</v>
      </c>
      <c r="P495" s="3" t="str">
        <f t="shared" si="15"/>
        <v>21-23</v>
      </c>
    </row>
    <row r="496" spans="1:16">
      <c r="A496" t="s">
        <v>530</v>
      </c>
      <c r="B496">
        <v>22</v>
      </c>
      <c r="C496" t="s">
        <v>5</v>
      </c>
      <c r="D496">
        <v>87.57</v>
      </c>
      <c r="E496">
        <v>10</v>
      </c>
      <c r="F496">
        <v>0.41</v>
      </c>
      <c r="G496">
        <v>41.59</v>
      </c>
      <c r="H496">
        <v>16.54</v>
      </c>
      <c r="I496">
        <v>4</v>
      </c>
      <c r="J496">
        <v>4</v>
      </c>
      <c r="K496">
        <f>(StudentData[[#This Row],[Midterm_Grade]]*40%)+(StudentData[[#This Row],[Final_Grade]]*60%)</f>
        <v>26.560000000000002</v>
      </c>
      <c r="L496">
        <f>StudentData[[#This Row],[Attendance_Percentage]]*40%+StudentData[[#This Row],[Assignments_Completed]]*2+StudentData[[#This Row],[Class_Participation]]*2+StudentData[[#This Row],[Projects_Submitted]]*4</f>
        <v>71.847999999999999</v>
      </c>
      <c r="M496">
        <f>StudentData[[#This Row],[Academic_Score]]*60%+StudentData[[#This Row],[Engagement_Score]]*30%+MIN(StudentData[[#This Row],[Study_Hours_per_Week]],20)/20*100*10%</f>
        <v>39.490399999999994</v>
      </c>
      <c r="N496" s="3" t="str" cm="1">
        <f t="array" ref="N49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96" s="3" t="str">
        <f t="shared" si="14"/>
        <v>Medium Risk</v>
      </c>
      <c r="P496" s="3" t="str">
        <f t="shared" si="15"/>
        <v>21-23</v>
      </c>
    </row>
    <row r="497" spans="1:16">
      <c r="A497" t="s">
        <v>531</v>
      </c>
      <c r="B497">
        <v>24</v>
      </c>
      <c r="C497" t="s">
        <v>5</v>
      </c>
      <c r="D497">
        <v>82.85</v>
      </c>
      <c r="E497">
        <v>8</v>
      </c>
      <c r="F497">
        <v>6.37</v>
      </c>
      <c r="G497">
        <v>6.31</v>
      </c>
      <c r="H497">
        <v>0.23</v>
      </c>
      <c r="I497">
        <v>12</v>
      </c>
      <c r="J497">
        <v>5</v>
      </c>
      <c r="K497">
        <f>(StudentData[[#This Row],[Midterm_Grade]]*40%)+(StudentData[[#This Row],[Final_Grade]]*60%)</f>
        <v>2.6619999999999999</v>
      </c>
      <c r="L497">
        <f>StudentData[[#This Row],[Attendance_Percentage]]*40%+StudentData[[#This Row],[Assignments_Completed]]*2+StudentData[[#This Row],[Class_Participation]]*2+StudentData[[#This Row],[Projects_Submitted]]*4</f>
        <v>81.88</v>
      </c>
      <c r="M497">
        <f>StudentData[[#This Row],[Academic_Score]]*60%+StudentData[[#This Row],[Engagement_Score]]*30%+MIN(StudentData[[#This Row],[Study_Hours_per_Week]],20)/20*100*10%</f>
        <v>32.161199999999994</v>
      </c>
      <c r="N497" s="3" t="str" cm="1">
        <f t="array" ref="N49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497" s="3" t="str">
        <f t="shared" si="14"/>
        <v>Medium Risk</v>
      </c>
      <c r="P497" s="3" t="str">
        <f t="shared" si="15"/>
        <v>24-25</v>
      </c>
    </row>
    <row r="498" spans="1:16">
      <c r="A498" t="s">
        <v>532</v>
      </c>
      <c r="B498">
        <v>20</v>
      </c>
      <c r="C498" t="s">
        <v>6</v>
      </c>
      <c r="D498">
        <v>97.83</v>
      </c>
      <c r="E498">
        <v>8</v>
      </c>
      <c r="F498">
        <v>5.97</v>
      </c>
      <c r="G498">
        <v>39.68</v>
      </c>
      <c r="H498">
        <v>98.39</v>
      </c>
      <c r="I498">
        <v>13</v>
      </c>
      <c r="J498">
        <v>1</v>
      </c>
      <c r="K498">
        <f>(StudentData[[#This Row],[Midterm_Grade]]*40%)+(StudentData[[#This Row],[Final_Grade]]*60%)</f>
        <v>74.906000000000006</v>
      </c>
      <c r="L498">
        <f>StudentData[[#This Row],[Attendance_Percentage]]*40%+StudentData[[#This Row],[Assignments_Completed]]*2+StudentData[[#This Row],[Class_Participation]]*2+StudentData[[#This Row],[Projects_Submitted]]*4</f>
        <v>71.072000000000003</v>
      </c>
      <c r="M498">
        <f>StudentData[[#This Row],[Academic_Score]]*60%+StudentData[[#This Row],[Engagement_Score]]*30%+MIN(StudentData[[#This Row],[Study_Hours_per_Week]],20)/20*100*10%</f>
        <v>72.765200000000007</v>
      </c>
      <c r="N498" s="3" t="str" cm="1">
        <f t="array" ref="N498">_xlfn.IFS(StudentData[[#This Row],[Success_Score]]&gt;=85,"Exceptional",StudentData[[#This Row],[Success_Score]]&gt;=70,"Strong",StudentData[[#This Row],[Success_Score]]&gt;=55,"Developing",TRUE,"Needs Improvement")</f>
        <v>Strong</v>
      </c>
      <c r="O498" s="3" t="str">
        <f t="shared" si="14"/>
        <v>Low Risk</v>
      </c>
      <c r="P498" s="3" t="str">
        <f t="shared" si="15"/>
        <v>18-20</v>
      </c>
    </row>
    <row r="499" spans="1:16">
      <c r="A499" t="s">
        <v>533</v>
      </c>
      <c r="B499">
        <v>21</v>
      </c>
      <c r="C499" t="s">
        <v>5</v>
      </c>
      <c r="D499">
        <v>53.45</v>
      </c>
      <c r="E499">
        <v>4</v>
      </c>
      <c r="F499">
        <v>6.53</v>
      </c>
      <c r="G499">
        <v>47.4</v>
      </c>
      <c r="H499">
        <v>90.61</v>
      </c>
      <c r="I499">
        <v>2</v>
      </c>
      <c r="J499">
        <v>0</v>
      </c>
      <c r="K499">
        <f>(StudentData[[#This Row],[Midterm_Grade]]*40%)+(StudentData[[#This Row],[Final_Grade]]*60%)</f>
        <v>73.325999999999993</v>
      </c>
      <c r="L499">
        <f>StudentData[[#This Row],[Attendance_Percentage]]*40%+StudentData[[#This Row],[Assignments_Completed]]*2+StudentData[[#This Row],[Class_Participation]]*2+StudentData[[#This Row],[Projects_Submitted]]*4</f>
        <v>42.440000000000005</v>
      </c>
      <c r="M499">
        <f>StudentData[[#This Row],[Academic_Score]]*60%+StudentData[[#This Row],[Engagement_Score]]*30%+MIN(StudentData[[#This Row],[Study_Hours_per_Week]],20)/20*100*10%</f>
        <v>57.727599999999995</v>
      </c>
      <c r="N499" s="3" t="str" cm="1">
        <f t="array" ref="N499">_xlfn.IFS(StudentData[[#This Row],[Success_Score]]&gt;=85,"Exceptional",StudentData[[#This Row],[Success_Score]]&gt;=70,"Strong",StudentData[[#This Row],[Success_Score]]&gt;=55,"Developing",TRUE,"Needs Improvement")</f>
        <v>Developing</v>
      </c>
      <c r="O499" s="3" t="str">
        <f t="shared" si="14"/>
        <v>Medium Risk</v>
      </c>
      <c r="P499" s="3" t="str">
        <f t="shared" si="15"/>
        <v>21-23</v>
      </c>
    </row>
    <row r="500" spans="1:16">
      <c r="A500" t="s">
        <v>534</v>
      </c>
      <c r="B500">
        <v>18</v>
      </c>
      <c r="C500" t="s">
        <v>6</v>
      </c>
      <c r="D500">
        <v>52.85</v>
      </c>
      <c r="E500">
        <v>9</v>
      </c>
      <c r="F500">
        <v>1.92</v>
      </c>
      <c r="G500">
        <v>45.13</v>
      </c>
      <c r="H500">
        <v>5.54</v>
      </c>
      <c r="I500">
        <v>14</v>
      </c>
      <c r="J500">
        <v>2</v>
      </c>
      <c r="K500">
        <f>(StudentData[[#This Row],[Midterm_Grade]]*40%)+(StudentData[[#This Row],[Final_Grade]]*60%)</f>
        <v>21.376000000000005</v>
      </c>
      <c r="L500">
        <f>StudentData[[#This Row],[Attendance_Percentage]]*40%+StudentData[[#This Row],[Assignments_Completed]]*2+StudentData[[#This Row],[Class_Participation]]*2+StudentData[[#This Row],[Projects_Submitted]]*4</f>
        <v>50.980000000000004</v>
      </c>
      <c r="M500">
        <f>StudentData[[#This Row],[Academic_Score]]*60%+StudentData[[#This Row],[Engagement_Score]]*30%+MIN(StudentData[[#This Row],[Study_Hours_per_Week]],20)/20*100*10%</f>
        <v>35.119600000000005</v>
      </c>
      <c r="N500" s="3" t="str" cm="1">
        <f t="array" ref="N50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00" s="3" t="str">
        <f t="shared" si="14"/>
        <v>High Risk</v>
      </c>
      <c r="P500" s="3" t="str">
        <f t="shared" si="15"/>
        <v>18-20</v>
      </c>
    </row>
    <row r="501" spans="1:16">
      <c r="A501" t="s">
        <v>535</v>
      </c>
      <c r="B501">
        <v>21</v>
      </c>
      <c r="C501" t="s">
        <v>5</v>
      </c>
      <c r="D501">
        <v>64.11</v>
      </c>
      <c r="E501">
        <v>0</v>
      </c>
      <c r="F501">
        <v>2.96</v>
      </c>
      <c r="G501">
        <v>86.92</v>
      </c>
      <c r="H501">
        <v>83.3</v>
      </c>
      <c r="I501">
        <v>18</v>
      </c>
      <c r="J501">
        <v>3</v>
      </c>
      <c r="K501">
        <f>(StudentData[[#This Row],[Midterm_Grade]]*40%)+(StudentData[[#This Row],[Final_Grade]]*60%)</f>
        <v>84.74799999999999</v>
      </c>
      <c r="L501">
        <f>StudentData[[#This Row],[Attendance_Percentage]]*40%+StudentData[[#This Row],[Assignments_Completed]]*2+StudentData[[#This Row],[Class_Participation]]*2+StudentData[[#This Row],[Projects_Submitted]]*4</f>
        <v>43.564</v>
      </c>
      <c r="M501">
        <f>StudentData[[#This Row],[Academic_Score]]*60%+StudentData[[#This Row],[Engagement_Score]]*30%+MIN(StudentData[[#This Row],[Study_Hours_per_Week]],20)/20*100*10%</f>
        <v>72.917999999999992</v>
      </c>
      <c r="N501" s="3" t="str" cm="1">
        <f t="array" ref="N501">_xlfn.IFS(StudentData[[#This Row],[Success_Score]]&gt;=85,"Exceptional",StudentData[[#This Row],[Success_Score]]&gt;=70,"Strong",StudentData[[#This Row],[Success_Score]]&gt;=55,"Developing",TRUE,"Needs Improvement")</f>
        <v>Strong</v>
      </c>
      <c r="O501" s="3" t="str">
        <f t="shared" si="14"/>
        <v>Medium Risk</v>
      </c>
      <c r="P501" s="3" t="str">
        <f t="shared" si="15"/>
        <v>21-23</v>
      </c>
    </row>
    <row r="502" spans="1:16">
      <c r="A502" t="s">
        <v>536</v>
      </c>
      <c r="B502">
        <v>24</v>
      </c>
      <c r="C502" t="s">
        <v>5</v>
      </c>
      <c r="D502">
        <v>63.09</v>
      </c>
      <c r="E502">
        <v>0</v>
      </c>
      <c r="F502">
        <v>6.2</v>
      </c>
      <c r="G502">
        <v>53.01</v>
      </c>
      <c r="H502">
        <v>45.78</v>
      </c>
      <c r="I502">
        <v>16</v>
      </c>
      <c r="J502">
        <v>5</v>
      </c>
      <c r="K502">
        <f>(StudentData[[#This Row],[Midterm_Grade]]*40%)+(StudentData[[#This Row],[Final_Grade]]*60%)</f>
        <v>48.671999999999997</v>
      </c>
      <c r="L502">
        <f>StudentData[[#This Row],[Attendance_Percentage]]*40%+StudentData[[#This Row],[Assignments_Completed]]*2+StudentData[[#This Row],[Class_Participation]]*2+StudentData[[#This Row],[Projects_Submitted]]*4</f>
        <v>57.636000000000003</v>
      </c>
      <c r="M502">
        <f>StudentData[[#This Row],[Academic_Score]]*60%+StudentData[[#This Row],[Engagement_Score]]*30%+MIN(StudentData[[#This Row],[Study_Hours_per_Week]],20)/20*100*10%</f>
        <v>54.494</v>
      </c>
      <c r="N502" s="3" t="str" cm="1">
        <f t="array" ref="N50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02" s="3" t="str">
        <f t="shared" si="14"/>
        <v>Medium Risk</v>
      </c>
      <c r="P502" s="3" t="str">
        <f t="shared" si="15"/>
        <v>24-25</v>
      </c>
    </row>
    <row r="503" spans="1:16">
      <c r="A503" t="s">
        <v>537</v>
      </c>
      <c r="B503">
        <v>22</v>
      </c>
      <c r="C503" t="s">
        <v>4</v>
      </c>
      <c r="D503">
        <v>62.35</v>
      </c>
      <c r="E503">
        <v>5</v>
      </c>
      <c r="F503">
        <v>6</v>
      </c>
      <c r="G503">
        <v>46.8</v>
      </c>
      <c r="H503">
        <v>25.9</v>
      </c>
      <c r="I503">
        <v>2</v>
      </c>
      <c r="J503">
        <v>4</v>
      </c>
      <c r="K503">
        <f>(StudentData[[#This Row],[Midterm_Grade]]*40%)+(StudentData[[#This Row],[Final_Grade]]*60%)</f>
        <v>34.26</v>
      </c>
      <c r="L503">
        <f>StudentData[[#This Row],[Attendance_Percentage]]*40%+StudentData[[#This Row],[Assignments_Completed]]*2+StudentData[[#This Row],[Class_Participation]]*2+StudentData[[#This Row],[Projects_Submitted]]*4</f>
        <v>62.94</v>
      </c>
      <c r="M503">
        <f>StudentData[[#This Row],[Academic_Score]]*60%+StudentData[[#This Row],[Engagement_Score]]*30%+MIN(StudentData[[#This Row],[Study_Hours_per_Week]],20)/20*100*10%</f>
        <v>40.437999999999995</v>
      </c>
      <c r="N503" s="3" t="str" cm="1">
        <f t="array" ref="N50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03" s="3" t="str">
        <f t="shared" si="14"/>
        <v>Medium Risk</v>
      </c>
      <c r="P503" s="3" t="str">
        <f t="shared" si="15"/>
        <v>21-23</v>
      </c>
    </row>
    <row r="504" spans="1:16">
      <c r="A504" t="s">
        <v>538</v>
      </c>
      <c r="B504">
        <v>22</v>
      </c>
      <c r="C504" t="s">
        <v>4</v>
      </c>
      <c r="D504">
        <v>95.31</v>
      </c>
      <c r="E504">
        <v>1</v>
      </c>
      <c r="F504">
        <v>5.0599999999999996</v>
      </c>
      <c r="G504">
        <v>41.07</v>
      </c>
      <c r="H504">
        <v>87.87</v>
      </c>
      <c r="I504">
        <v>15</v>
      </c>
      <c r="J504">
        <v>5</v>
      </c>
      <c r="K504">
        <f>(StudentData[[#This Row],[Midterm_Grade]]*40%)+(StudentData[[#This Row],[Final_Grade]]*60%)</f>
        <v>69.150000000000006</v>
      </c>
      <c r="L504">
        <f>StudentData[[#This Row],[Attendance_Percentage]]*40%+StudentData[[#This Row],[Assignments_Completed]]*2+StudentData[[#This Row],[Class_Participation]]*2+StudentData[[#This Row],[Projects_Submitted]]*4</f>
        <v>70.244</v>
      </c>
      <c r="M504">
        <f>StudentData[[#This Row],[Academic_Score]]*60%+StudentData[[#This Row],[Engagement_Score]]*30%+MIN(StudentData[[#This Row],[Study_Hours_per_Week]],20)/20*100*10%</f>
        <v>70.063199999999995</v>
      </c>
      <c r="N504" s="3" t="str" cm="1">
        <f t="array" ref="N504">_xlfn.IFS(StudentData[[#This Row],[Success_Score]]&gt;=85,"Exceptional",StudentData[[#This Row],[Success_Score]]&gt;=70,"Strong",StudentData[[#This Row],[Success_Score]]&gt;=55,"Developing",TRUE,"Needs Improvement")</f>
        <v>Strong</v>
      </c>
      <c r="O504" s="3" t="str">
        <f t="shared" si="14"/>
        <v>Low Risk</v>
      </c>
      <c r="P504" s="3" t="str">
        <f t="shared" si="15"/>
        <v>21-23</v>
      </c>
    </row>
    <row r="505" spans="1:16">
      <c r="A505" t="s">
        <v>539</v>
      </c>
      <c r="B505">
        <v>25</v>
      </c>
      <c r="C505" t="s">
        <v>4</v>
      </c>
      <c r="D505">
        <v>62.48</v>
      </c>
      <c r="E505">
        <v>7</v>
      </c>
      <c r="F505">
        <v>3.5</v>
      </c>
      <c r="G505">
        <v>81.760000000000005</v>
      </c>
      <c r="H505">
        <v>19.670000000000002</v>
      </c>
      <c r="I505">
        <v>13</v>
      </c>
      <c r="J505">
        <v>5</v>
      </c>
      <c r="K505">
        <f>(StudentData[[#This Row],[Midterm_Grade]]*40%)+(StudentData[[#This Row],[Final_Grade]]*60%)</f>
        <v>44.506</v>
      </c>
      <c r="L505">
        <f>StudentData[[#This Row],[Attendance_Percentage]]*40%+StudentData[[#This Row],[Assignments_Completed]]*2+StudentData[[#This Row],[Class_Participation]]*2+StudentData[[#This Row],[Projects_Submitted]]*4</f>
        <v>65.992000000000004</v>
      </c>
      <c r="M505">
        <f>StudentData[[#This Row],[Academic_Score]]*60%+StudentData[[#This Row],[Engagement_Score]]*30%+MIN(StudentData[[#This Row],[Study_Hours_per_Week]],20)/20*100*10%</f>
        <v>53.001199999999997</v>
      </c>
      <c r="N505" s="3" t="str" cm="1">
        <f t="array" ref="N50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05" s="3" t="str">
        <f t="shared" si="14"/>
        <v>Medium Risk</v>
      </c>
      <c r="P505" s="3" t="str">
        <f t="shared" si="15"/>
        <v>24-25</v>
      </c>
    </row>
    <row r="506" spans="1:16">
      <c r="A506" t="s">
        <v>540</v>
      </c>
      <c r="B506">
        <v>24</v>
      </c>
      <c r="C506" t="s">
        <v>4</v>
      </c>
      <c r="D506">
        <v>63.6</v>
      </c>
      <c r="E506">
        <v>8</v>
      </c>
      <c r="F506">
        <v>9.1300000000000008</v>
      </c>
      <c r="G506">
        <v>89.51</v>
      </c>
      <c r="H506">
        <v>94.73</v>
      </c>
      <c r="I506">
        <v>11</v>
      </c>
      <c r="J506">
        <v>1</v>
      </c>
      <c r="K506">
        <f>(StudentData[[#This Row],[Midterm_Grade]]*40%)+(StudentData[[#This Row],[Final_Grade]]*60%)</f>
        <v>92.641999999999996</v>
      </c>
      <c r="L506">
        <f>StudentData[[#This Row],[Attendance_Percentage]]*40%+StudentData[[#This Row],[Assignments_Completed]]*2+StudentData[[#This Row],[Class_Participation]]*2+StudentData[[#This Row],[Projects_Submitted]]*4</f>
        <v>63.7</v>
      </c>
      <c r="M506">
        <f>StudentData[[#This Row],[Academic_Score]]*60%+StudentData[[#This Row],[Engagement_Score]]*30%+MIN(StudentData[[#This Row],[Study_Hours_per_Week]],20)/20*100*10%</f>
        <v>80.1952</v>
      </c>
      <c r="N506" s="3" t="str" cm="1">
        <f t="array" ref="N506">_xlfn.IFS(StudentData[[#This Row],[Success_Score]]&gt;=85,"Exceptional",StudentData[[#This Row],[Success_Score]]&gt;=70,"Strong",StudentData[[#This Row],[Success_Score]]&gt;=55,"Developing",TRUE,"Needs Improvement")</f>
        <v>Strong</v>
      </c>
      <c r="O506" s="3" t="str">
        <f t="shared" si="14"/>
        <v>Medium Risk</v>
      </c>
      <c r="P506" s="3" t="str">
        <f t="shared" si="15"/>
        <v>24-25</v>
      </c>
    </row>
    <row r="507" spans="1:16">
      <c r="A507" t="s">
        <v>541</v>
      </c>
      <c r="B507">
        <v>18</v>
      </c>
      <c r="C507" t="s">
        <v>4</v>
      </c>
      <c r="D507">
        <v>87.97</v>
      </c>
      <c r="E507">
        <v>3</v>
      </c>
      <c r="F507">
        <v>3.4</v>
      </c>
      <c r="G507">
        <v>85.32</v>
      </c>
      <c r="H507">
        <v>20.56</v>
      </c>
      <c r="I507">
        <v>11</v>
      </c>
      <c r="J507">
        <v>0</v>
      </c>
      <c r="K507">
        <f>(StudentData[[#This Row],[Midterm_Grade]]*40%)+(StudentData[[#This Row],[Final_Grade]]*60%)</f>
        <v>46.463999999999999</v>
      </c>
      <c r="L507">
        <f>StudentData[[#This Row],[Attendance_Percentage]]*40%+StudentData[[#This Row],[Assignments_Completed]]*2+StudentData[[#This Row],[Class_Participation]]*2+StudentData[[#This Row],[Projects_Submitted]]*4</f>
        <v>47.988</v>
      </c>
      <c r="M507">
        <f>StudentData[[#This Row],[Academic_Score]]*60%+StudentData[[#This Row],[Engagement_Score]]*30%+MIN(StudentData[[#This Row],[Study_Hours_per_Week]],20)/20*100*10%</f>
        <v>47.774799999999999</v>
      </c>
      <c r="N507" s="3" t="str" cm="1">
        <f t="array" ref="N50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07" s="3" t="str">
        <f t="shared" si="14"/>
        <v>Medium Risk</v>
      </c>
      <c r="P507" s="3" t="str">
        <f t="shared" si="15"/>
        <v>18-20</v>
      </c>
    </row>
    <row r="508" spans="1:16">
      <c r="A508" t="s">
        <v>542</v>
      </c>
      <c r="B508">
        <v>25</v>
      </c>
      <c r="C508" t="s">
        <v>4</v>
      </c>
      <c r="D508">
        <v>72.489999999999995</v>
      </c>
      <c r="E508">
        <v>4</v>
      </c>
      <c r="F508">
        <v>4.5599999999999996</v>
      </c>
      <c r="G508">
        <v>67.349999999999994</v>
      </c>
      <c r="H508">
        <v>61.37</v>
      </c>
      <c r="I508">
        <v>10</v>
      </c>
      <c r="J508">
        <v>0</v>
      </c>
      <c r="K508">
        <f>(StudentData[[#This Row],[Midterm_Grade]]*40%)+(StudentData[[#This Row],[Final_Grade]]*60%)</f>
        <v>63.761999999999993</v>
      </c>
      <c r="L508">
        <f>StudentData[[#This Row],[Attendance_Percentage]]*40%+StudentData[[#This Row],[Assignments_Completed]]*2+StudentData[[#This Row],[Class_Participation]]*2+StudentData[[#This Row],[Projects_Submitted]]*4</f>
        <v>46.115999999999993</v>
      </c>
      <c r="M508">
        <f>StudentData[[#This Row],[Academic_Score]]*60%+StudentData[[#This Row],[Engagement_Score]]*30%+MIN(StudentData[[#This Row],[Study_Hours_per_Week]],20)/20*100*10%</f>
        <v>57.091999999999999</v>
      </c>
      <c r="N508" s="3" t="str" cm="1">
        <f t="array" ref="N508">_xlfn.IFS(StudentData[[#This Row],[Success_Score]]&gt;=85,"Exceptional",StudentData[[#This Row],[Success_Score]]&gt;=70,"Strong",StudentData[[#This Row],[Success_Score]]&gt;=55,"Developing",TRUE,"Needs Improvement")</f>
        <v>Developing</v>
      </c>
      <c r="O508" s="3" t="str">
        <f t="shared" si="14"/>
        <v>Low Risk</v>
      </c>
      <c r="P508" s="3" t="str">
        <f t="shared" si="15"/>
        <v>24-25</v>
      </c>
    </row>
    <row r="509" spans="1:16">
      <c r="A509" t="s">
        <v>543</v>
      </c>
      <c r="B509">
        <v>20</v>
      </c>
      <c r="C509" t="s">
        <v>4</v>
      </c>
      <c r="D509">
        <v>88.84</v>
      </c>
      <c r="E509">
        <v>10</v>
      </c>
      <c r="F509">
        <v>6.78</v>
      </c>
      <c r="G509">
        <v>13.74</v>
      </c>
      <c r="H509">
        <v>22.31</v>
      </c>
      <c r="I509">
        <v>16</v>
      </c>
      <c r="J509">
        <v>5</v>
      </c>
      <c r="K509">
        <f>(StudentData[[#This Row],[Midterm_Grade]]*40%)+(StudentData[[#This Row],[Final_Grade]]*60%)</f>
        <v>18.881999999999998</v>
      </c>
      <c r="L509">
        <f>StudentData[[#This Row],[Attendance_Percentage]]*40%+StudentData[[#This Row],[Assignments_Completed]]*2+StudentData[[#This Row],[Class_Participation]]*2+StudentData[[#This Row],[Projects_Submitted]]*4</f>
        <v>89.096000000000004</v>
      </c>
      <c r="M509">
        <f>StudentData[[#This Row],[Academic_Score]]*60%+StudentData[[#This Row],[Engagement_Score]]*30%+MIN(StudentData[[#This Row],[Study_Hours_per_Week]],20)/20*100*10%</f>
        <v>46.058</v>
      </c>
      <c r="N509" s="3" t="str" cm="1">
        <f t="array" ref="N50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09" s="3" t="str">
        <f t="shared" si="14"/>
        <v>Medium Risk</v>
      </c>
      <c r="P509" s="3" t="str">
        <f t="shared" si="15"/>
        <v>18-20</v>
      </c>
    </row>
    <row r="510" spans="1:16">
      <c r="A510" t="s">
        <v>544</v>
      </c>
      <c r="B510">
        <v>25</v>
      </c>
      <c r="C510" t="s">
        <v>5</v>
      </c>
      <c r="D510">
        <v>53.27</v>
      </c>
      <c r="E510">
        <v>7</v>
      </c>
      <c r="F510">
        <v>5.43</v>
      </c>
      <c r="G510">
        <v>27.69</v>
      </c>
      <c r="H510">
        <v>54.57</v>
      </c>
      <c r="I510">
        <v>7</v>
      </c>
      <c r="J510">
        <v>3</v>
      </c>
      <c r="K510">
        <f>(StudentData[[#This Row],[Midterm_Grade]]*40%)+(StudentData[[#This Row],[Final_Grade]]*60%)</f>
        <v>43.817999999999998</v>
      </c>
      <c r="L510">
        <f>StudentData[[#This Row],[Attendance_Percentage]]*40%+StudentData[[#This Row],[Assignments_Completed]]*2+StudentData[[#This Row],[Class_Participation]]*2+StudentData[[#This Row],[Projects_Submitted]]*4</f>
        <v>58.168000000000006</v>
      </c>
      <c r="M510">
        <f>StudentData[[#This Row],[Academic_Score]]*60%+StudentData[[#This Row],[Engagement_Score]]*30%+MIN(StudentData[[#This Row],[Study_Hours_per_Week]],20)/20*100*10%</f>
        <v>47.241199999999999</v>
      </c>
      <c r="N510" s="3" t="str" cm="1">
        <f t="array" ref="N51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10" s="3" t="str">
        <f t="shared" si="14"/>
        <v>High Risk</v>
      </c>
      <c r="P510" s="3" t="str">
        <f t="shared" si="15"/>
        <v>24-25</v>
      </c>
    </row>
    <row r="511" spans="1:16">
      <c r="A511" t="s">
        <v>545</v>
      </c>
      <c r="B511">
        <v>19</v>
      </c>
      <c r="C511" t="s">
        <v>4</v>
      </c>
      <c r="D511">
        <v>74.38</v>
      </c>
      <c r="E511">
        <v>2</v>
      </c>
      <c r="F511">
        <v>3.47</v>
      </c>
      <c r="G511">
        <v>4.6100000000000003</v>
      </c>
      <c r="H511">
        <v>68.400000000000006</v>
      </c>
      <c r="I511">
        <v>16</v>
      </c>
      <c r="J511">
        <v>0</v>
      </c>
      <c r="K511">
        <f>(StudentData[[#This Row],[Midterm_Grade]]*40%)+(StudentData[[#This Row],[Final_Grade]]*60%)</f>
        <v>42.884</v>
      </c>
      <c r="L511">
        <f>StudentData[[#This Row],[Attendance_Percentage]]*40%+StudentData[[#This Row],[Assignments_Completed]]*2+StudentData[[#This Row],[Class_Participation]]*2+StudentData[[#This Row],[Projects_Submitted]]*4</f>
        <v>40.691999999999993</v>
      </c>
      <c r="M511">
        <f>StudentData[[#This Row],[Academic_Score]]*60%+StudentData[[#This Row],[Engagement_Score]]*30%+MIN(StudentData[[#This Row],[Study_Hours_per_Week]],20)/20*100*10%</f>
        <v>45.937999999999995</v>
      </c>
      <c r="N511" s="3" t="str" cm="1">
        <f t="array" ref="N51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11" s="3" t="str">
        <f t="shared" si="14"/>
        <v>Medium Risk</v>
      </c>
      <c r="P511" s="3" t="str">
        <f t="shared" si="15"/>
        <v>18-20</v>
      </c>
    </row>
    <row r="512" spans="1:16">
      <c r="A512" t="s">
        <v>546</v>
      </c>
      <c r="B512">
        <v>18</v>
      </c>
      <c r="C512" t="s">
        <v>5</v>
      </c>
      <c r="D512">
        <v>51.68</v>
      </c>
      <c r="E512">
        <v>4</v>
      </c>
      <c r="F512">
        <v>4.3600000000000003</v>
      </c>
      <c r="G512">
        <v>93.08</v>
      </c>
      <c r="H512">
        <v>19.02</v>
      </c>
      <c r="I512">
        <v>19</v>
      </c>
      <c r="J512">
        <v>5</v>
      </c>
      <c r="K512">
        <f>(StudentData[[#This Row],[Midterm_Grade]]*40%)+(StudentData[[#This Row],[Final_Grade]]*60%)</f>
        <v>48.643999999999998</v>
      </c>
      <c r="L512">
        <f>StudentData[[#This Row],[Attendance_Percentage]]*40%+StudentData[[#This Row],[Assignments_Completed]]*2+StudentData[[#This Row],[Class_Participation]]*2+StudentData[[#This Row],[Projects_Submitted]]*4</f>
        <v>57.392000000000003</v>
      </c>
      <c r="M512">
        <f>StudentData[[#This Row],[Academic_Score]]*60%+StudentData[[#This Row],[Engagement_Score]]*30%+MIN(StudentData[[#This Row],[Study_Hours_per_Week]],20)/20*100*10%</f>
        <v>55.903999999999996</v>
      </c>
      <c r="N512" s="3" t="str" cm="1">
        <f t="array" ref="N512">_xlfn.IFS(StudentData[[#This Row],[Success_Score]]&gt;=85,"Exceptional",StudentData[[#This Row],[Success_Score]]&gt;=70,"Strong",StudentData[[#This Row],[Success_Score]]&gt;=55,"Developing",TRUE,"Needs Improvement")</f>
        <v>Developing</v>
      </c>
      <c r="O512" s="3" t="str">
        <f t="shared" si="14"/>
        <v>High Risk</v>
      </c>
      <c r="P512" s="3" t="str">
        <f t="shared" si="15"/>
        <v>18-20</v>
      </c>
    </row>
    <row r="513" spans="1:16">
      <c r="A513" t="s">
        <v>547</v>
      </c>
      <c r="B513">
        <v>19</v>
      </c>
      <c r="C513" t="s">
        <v>6</v>
      </c>
      <c r="D513">
        <v>53.13</v>
      </c>
      <c r="E513">
        <v>2</v>
      </c>
      <c r="F513">
        <v>7.94</v>
      </c>
      <c r="G513">
        <v>66.08</v>
      </c>
      <c r="H513">
        <v>52.09</v>
      </c>
      <c r="I513">
        <v>10</v>
      </c>
      <c r="J513">
        <v>0</v>
      </c>
      <c r="K513">
        <f>(StudentData[[#This Row],[Midterm_Grade]]*40%)+(StudentData[[#This Row],[Final_Grade]]*60%)</f>
        <v>57.686000000000007</v>
      </c>
      <c r="L513">
        <f>StudentData[[#This Row],[Attendance_Percentage]]*40%+StudentData[[#This Row],[Assignments_Completed]]*2+StudentData[[#This Row],[Class_Participation]]*2+StudentData[[#This Row],[Projects_Submitted]]*4</f>
        <v>41.132000000000005</v>
      </c>
      <c r="M513">
        <f>StudentData[[#This Row],[Academic_Score]]*60%+StudentData[[#This Row],[Engagement_Score]]*30%+MIN(StudentData[[#This Row],[Study_Hours_per_Week]],20)/20*100*10%</f>
        <v>51.9512</v>
      </c>
      <c r="N513" s="3" t="str" cm="1">
        <f t="array" ref="N51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13" s="3" t="str">
        <f t="shared" si="14"/>
        <v>Medium Risk</v>
      </c>
      <c r="P513" s="3" t="str">
        <f t="shared" si="15"/>
        <v>18-20</v>
      </c>
    </row>
    <row r="514" spans="1:16">
      <c r="A514" t="s">
        <v>548</v>
      </c>
      <c r="B514">
        <v>24</v>
      </c>
      <c r="C514" t="s">
        <v>6</v>
      </c>
      <c r="D514">
        <v>95.32</v>
      </c>
      <c r="E514">
        <v>9</v>
      </c>
      <c r="F514">
        <v>2.78</v>
      </c>
      <c r="G514">
        <v>74.64</v>
      </c>
      <c r="H514">
        <v>46.91</v>
      </c>
      <c r="I514">
        <v>1</v>
      </c>
      <c r="J514">
        <v>3</v>
      </c>
      <c r="K514">
        <f>(StudentData[[#This Row],[Midterm_Grade]]*40%)+(StudentData[[#This Row],[Final_Grade]]*60%)</f>
        <v>58.001999999999995</v>
      </c>
      <c r="L514">
        <f>StudentData[[#This Row],[Attendance_Percentage]]*40%+StudentData[[#This Row],[Assignments_Completed]]*2+StudentData[[#This Row],[Class_Participation]]*2+StudentData[[#This Row],[Projects_Submitted]]*4</f>
        <v>73.688000000000002</v>
      </c>
      <c r="M514">
        <f>StudentData[[#This Row],[Academic_Score]]*60%+StudentData[[#This Row],[Engagement_Score]]*30%+MIN(StudentData[[#This Row],[Study_Hours_per_Week]],20)/20*100*10%</f>
        <v>57.407599999999995</v>
      </c>
      <c r="N514" s="3" t="str" cm="1">
        <f t="array" ref="N514">_xlfn.IFS(StudentData[[#This Row],[Success_Score]]&gt;=85,"Exceptional",StudentData[[#This Row],[Success_Score]]&gt;=70,"Strong",StudentData[[#This Row],[Success_Score]]&gt;=55,"Developing",TRUE,"Needs Improvement")</f>
        <v>Developing</v>
      </c>
      <c r="O514" s="3" t="str">
        <f t="shared" ref="O514:O577" si="16">IF(AND(D514&lt;60,K514&lt;50),"High Risk",IF(OR(D514&lt;70,K514&lt;60),"Medium Risk","Low Risk"))</f>
        <v>Medium Risk</v>
      </c>
      <c r="P514" s="3" t="str">
        <f t="shared" ref="P514:P577" si="17">IF(B514&lt;=20,"18-20",IF(B514&lt;=23,"21-23","24-25"))</f>
        <v>24-25</v>
      </c>
    </row>
    <row r="515" spans="1:16">
      <c r="A515" t="s">
        <v>549</v>
      </c>
      <c r="B515">
        <v>23</v>
      </c>
      <c r="C515" t="s">
        <v>5</v>
      </c>
      <c r="D515">
        <v>56.96</v>
      </c>
      <c r="E515">
        <v>2</v>
      </c>
      <c r="F515">
        <v>1.42</v>
      </c>
      <c r="G515">
        <v>31.16</v>
      </c>
      <c r="H515">
        <v>7.1</v>
      </c>
      <c r="I515">
        <v>9</v>
      </c>
      <c r="J515">
        <v>4</v>
      </c>
      <c r="K515">
        <f>(StudentData[[#This Row],[Midterm_Grade]]*40%)+(StudentData[[#This Row],[Final_Grade]]*60%)</f>
        <v>16.724</v>
      </c>
      <c r="L515">
        <f>StudentData[[#This Row],[Attendance_Percentage]]*40%+StudentData[[#This Row],[Assignments_Completed]]*2+StudentData[[#This Row],[Class_Participation]]*2+StudentData[[#This Row],[Projects_Submitted]]*4</f>
        <v>45.624000000000002</v>
      </c>
      <c r="M515">
        <f>StudentData[[#This Row],[Academic_Score]]*60%+StudentData[[#This Row],[Engagement_Score]]*30%+MIN(StudentData[[#This Row],[Study_Hours_per_Week]],20)/20*100*10%</f>
        <v>28.221600000000002</v>
      </c>
      <c r="N515" s="3" t="str" cm="1">
        <f t="array" ref="N51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15" s="3" t="str">
        <f t="shared" si="16"/>
        <v>High Risk</v>
      </c>
      <c r="P515" s="3" t="str">
        <f t="shared" si="17"/>
        <v>21-23</v>
      </c>
    </row>
    <row r="516" spans="1:16">
      <c r="A516" t="s">
        <v>550</v>
      </c>
      <c r="B516">
        <v>19</v>
      </c>
      <c r="C516" t="s">
        <v>4</v>
      </c>
      <c r="D516">
        <v>76.62</v>
      </c>
      <c r="E516">
        <v>2</v>
      </c>
      <c r="F516">
        <v>3.13</v>
      </c>
      <c r="G516">
        <v>84.57</v>
      </c>
      <c r="H516">
        <v>81.83</v>
      </c>
      <c r="I516">
        <v>9</v>
      </c>
      <c r="J516">
        <v>5</v>
      </c>
      <c r="K516">
        <f>(StudentData[[#This Row],[Midterm_Grade]]*40%)+(StudentData[[#This Row],[Final_Grade]]*60%)</f>
        <v>82.925999999999988</v>
      </c>
      <c r="L516">
        <f>StudentData[[#This Row],[Attendance_Percentage]]*40%+StudentData[[#This Row],[Assignments_Completed]]*2+StudentData[[#This Row],[Class_Participation]]*2+StudentData[[#This Row],[Projects_Submitted]]*4</f>
        <v>60.908000000000001</v>
      </c>
      <c r="M516">
        <f>StudentData[[#This Row],[Academic_Score]]*60%+StudentData[[#This Row],[Engagement_Score]]*30%+MIN(StudentData[[#This Row],[Study_Hours_per_Week]],20)/20*100*10%</f>
        <v>72.527999999999992</v>
      </c>
      <c r="N516" s="3" t="str" cm="1">
        <f t="array" ref="N516">_xlfn.IFS(StudentData[[#This Row],[Success_Score]]&gt;=85,"Exceptional",StudentData[[#This Row],[Success_Score]]&gt;=70,"Strong",StudentData[[#This Row],[Success_Score]]&gt;=55,"Developing",TRUE,"Needs Improvement")</f>
        <v>Strong</v>
      </c>
      <c r="O516" s="3" t="str">
        <f t="shared" si="16"/>
        <v>Low Risk</v>
      </c>
      <c r="P516" s="3" t="str">
        <f t="shared" si="17"/>
        <v>18-20</v>
      </c>
    </row>
    <row r="517" spans="1:16">
      <c r="A517" t="s">
        <v>551</v>
      </c>
      <c r="B517">
        <v>20</v>
      </c>
      <c r="C517" t="s">
        <v>6</v>
      </c>
      <c r="D517">
        <v>70.55</v>
      </c>
      <c r="E517">
        <v>6</v>
      </c>
      <c r="F517">
        <v>8.5</v>
      </c>
      <c r="G517">
        <v>25.96</v>
      </c>
      <c r="H517">
        <v>33.57</v>
      </c>
      <c r="I517">
        <v>10</v>
      </c>
      <c r="J517">
        <v>2</v>
      </c>
      <c r="K517">
        <f>(StudentData[[#This Row],[Midterm_Grade]]*40%)+(StudentData[[#This Row],[Final_Grade]]*60%)</f>
        <v>30.526</v>
      </c>
      <c r="L517">
        <f>StudentData[[#This Row],[Attendance_Percentage]]*40%+StudentData[[#This Row],[Assignments_Completed]]*2+StudentData[[#This Row],[Class_Participation]]*2+StudentData[[#This Row],[Projects_Submitted]]*4</f>
        <v>65.22</v>
      </c>
      <c r="M517">
        <f>StudentData[[#This Row],[Academic_Score]]*60%+StudentData[[#This Row],[Engagement_Score]]*30%+MIN(StudentData[[#This Row],[Study_Hours_per_Week]],20)/20*100*10%</f>
        <v>42.881599999999999</v>
      </c>
      <c r="N517" s="3" t="str" cm="1">
        <f t="array" ref="N51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17" s="3" t="str">
        <f t="shared" si="16"/>
        <v>Medium Risk</v>
      </c>
      <c r="P517" s="3" t="str">
        <f t="shared" si="17"/>
        <v>18-20</v>
      </c>
    </row>
    <row r="518" spans="1:16">
      <c r="A518" t="s">
        <v>552</v>
      </c>
      <c r="B518">
        <v>25</v>
      </c>
      <c r="C518" t="s">
        <v>5</v>
      </c>
      <c r="D518">
        <v>67.37</v>
      </c>
      <c r="E518">
        <v>6</v>
      </c>
      <c r="F518">
        <v>0.89</v>
      </c>
      <c r="G518">
        <v>0.16</v>
      </c>
      <c r="H518">
        <v>57.46</v>
      </c>
      <c r="I518">
        <v>5</v>
      </c>
      <c r="J518">
        <v>2</v>
      </c>
      <c r="K518">
        <f>(StudentData[[#This Row],[Midterm_Grade]]*40%)+(StudentData[[#This Row],[Final_Grade]]*60%)</f>
        <v>34.54</v>
      </c>
      <c r="L518">
        <f>StudentData[[#This Row],[Attendance_Percentage]]*40%+StudentData[[#This Row],[Assignments_Completed]]*2+StudentData[[#This Row],[Class_Participation]]*2+StudentData[[#This Row],[Projects_Submitted]]*4</f>
        <v>48.728000000000009</v>
      </c>
      <c r="M518">
        <f>StudentData[[#This Row],[Academic_Score]]*60%+StudentData[[#This Row],[Engagement_Score]]*30%+MIN(StudentData[[#This Row],[Study_Hours_per_Week]],20)/20*100*10%</f>
        <v>37.842399999999998</v>
      </c>
      <c r="N518" s="3" t="str" cm="1">
        <f t="array" ref="N51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18" s="3" t="str">
        <f t="shared" si="16"/>
        <v>Medium Risk</v>
      </c>
      <c r="P518" s="3" t="str">
        <f t="shared" si="17"/>
        <v>24-25</v>
      </c>
    </row>
    <row r="519" spans="1:16">
      <c r="A519" t="s">
        <v>553</v>
      </c>
      <c r="B519">
        <v>23</v>
      </c>
      <c r="C519" t="s">
        <v>4</v>
      </c>
      <c r="D519">
        <v>94.99</v>
      </c>
      <c r="E519">
        <v>6</v>
      </c>
      <c r="F519">
        <v>9.92</v>
      </c>
      <c r="G519">
        <v>37.64</v>
      </c>
      <c r="H519">
        <v>51.48</v>
      </c>
      <c r="I519">
        <v>3</v>
      </c>
      <c r="J519">
        <v>5</v>
      </c>
      <c r="K519">
        <f>(StudentData[[#This Row],[Midterm_Grade]]*40%)+(StudentData[[#This Row],[Final_Grade]]*60%)</f>
        <v>45.944000000000003</v>
      </c>
      <c r="L519">
        <f>StudentData[[#This Row],[Attendance_Percentage]]*40%+StudentData[[#This Row],[Assignments_Completed]]*2+StudentData[[#This Row],[Class_Participation]]*2+StudentData[[#This Row],[Projects_Submitted]]*4</f>
        <v>89.835999999999999</v>
      </c>
      <c r="M519">
        <f>StudentData[[#This Row],[Academic_Score]]*60%+StudentData[[#This Row],[Engagement_Score]]*30%+MIN(StudentData[[#This Row],[Study_Hours_per_Week]],20)/20*100*10%</f>
        <v>56.017200000000003</v>
      </c>
      <c r="N519" s="3" t="str" cm="1">
        <f t="array" ref="N519">_xlfn.IFS(StudentData[[#This Row],[Success_Score]]&gt;=85,"Exceptional",StudentData[[#This Row],[Success_Score]]&gt;=70,"Strong",StudentData[[#This Row],[Success_Score]]&gt;=55,"Developing",TRUE,"Needs Improvement")</f>
        <v>Developing</v>
      </c>
      <c r="O519" s="3" t="str">
        <f t="shared" si="16"/>
        <v>Medium Risk</v>
      </c>
      <c r="P519" s="3" t="str">
        <f t="shared" si="17"/>
        <v>21-23</v>
      </c>
    </row>
    <row r="520" spans="1:16">
      <c r="A520" t="s">
        <v>554</v>
      </c>
      <c r="B520">
        <v>25</v>
      </c>
      <c r="C520" t="s">
        <v>6</v>
      </c>
      <c r="D520">
        <v>51.09</v>
      </c>
      <c r="E520">
        <v>9</v>
      </c>
      <c r="F520">
        <v>5.41</v>
      </c>
      <c r="G520">
        <v>57.08</v>
      </c>
      <c r="H520">
        <v>51.33</v>
      </c>
      <c r="I520">
        <v>11</v>
      </c>
      <c r="J520">
        <v>1</v>
      </c>
      <c r="K520">
        <f>(StudentData[[#This Row],[Midterm_Grade]]*40%)+(StudentData[[#This Row],[Final_Grade]]*60%)</f>
        <v>53.629999999999995</v>
      </c>
      <c r="L520">
        <f>StudentData[[#This Row],[Attendance_Percentage]]*40%+StudentData[[#This Row],[Assignments_Completed]]*2+StudentData[[#This Row],[Class_Participation]]*2+StudentData[[#This Row],[Projects_Submitted]]*4</f>
        <v>53.256000000000007</v>
      </c>
      <c r="M520">
        <f>StudentData[[#This Row],[Academic_Score]]*60%+StudentData[[#This Row],[Engagement_Score]]*30%+MIN(StudentData[[#This Row],[Study_Hours_per_Week]],20)/20*100*10%</f>
        <v>53.654799999999994</v>
      </c>
      <c r="N520" s="3" t="str" cm="1">
        <f t="array" ref="N52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20" s="3" t="str">
        <f t="shared" si="16"/>
        <v>Medium Risk</v>
      </c>
      <c r="P520" s="3" t="str">
        <f t="shared" si="17"/>
        <v>24-25</v>
      </c>
    </row>
    <row r="521" spans="1:16">
      <c r="A521" t="s">
        <v>555</v>
      </c>
      <c r="B521">
        <v>19</v>
      </c>
      <c r="C521" t="s">
        <v>5</v>
      </c>
      <c r="D521">
        <v>83.19</v>
      </c>
      <c r="E521">
        <v>7</v>
      </c>
      <c r="F521">
        <v>9.85</v>
      </c>
      <c r="G521">
        <v>47.87</v>
      </c>
      <c r="H521">
        <v>10.72</v>
      </c>
      <c r="I521">
        <v>10</v>
      </c>
      <c r="J521">
        <v>4</v>
      </c>
      <c r="K521">
        <f>(StudentData[[#This Row],[Midterm_Grade]]*40%)+(StudentData[[#This Row],[Final_Grade]]*60%)</f>
        <v>25.58</v>
      </c>
      <c r="L521">
        <f>StudentData[[#This Row],[Attendance_Percentage]]*40%+StudentData[[#This Row],[Assignments_Completed]]*2+StudentData[[#This Row],[Class_Participation]]*2+StudentData[[#This Row],[Projects_Submitted]]*4</f>
        <v>82.975999999999999</v>
      </c>
      <c r="M521">
        <f>StudentData[[#This Row],[Academic_Score]]*60%+StudentData[[#This Row],[Engagement_Score]]*30%+MIN(StudentData[[#This Row],[Study_Hours_per_Week]],20)/20*100*10%</f>
        <v>45.240799999999993</v>
      </c>
      <c r="N521" s="3" t="str" cm="1">
        <f t="array" ref="N52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21" s="3" t="str">
        <f t="shared" si="16"/>
        <v>Medium Risk</v>
      </c>
      <c r="P521" s="3" t="str">
        <f t="shared" si="17"/>
        <v>18-20</v>
      </c>
    </row>
    <row r="522" spans="1:16">
      <c r="A522" t="s">
        <v>556</v>
      </c>
      <c r="B522">
        <v>25</v>
      </c>
      <c r="C522" t="s">
        <v>4</v>
      </c>
      <c r="D522">
        <v>98.17</v>
      </c>
      <c r="E522">
        <v>4</v>
      </c>
      <c r="F522">
        <v>9.39</v>
      </c>
      <c r="G522">
        <v>86.21</v>
      </c>
      <c r="H522">
        <v>42.35</v>
      </c>
      <c r="I522">
        <v>12</v>
      </c>
      <c r="J522">
        <v>1</v>
      </c>
      <c r="K522">
        <f>(StudentData[[#This Row],[Midterm_Grade]]*40%)+(StudentData[[#This Row],[Final_Grade]]*60%)</f>
        <v>59.894000000000005</v>
      </c>
      <c r="L522">
        <f>StudentData[[#This Row],[Attendance_Percentage]]*40%+StudentData[[#This Row],[Assignments_Completed]]*2+StudentData[[#This Row],[Class_Participation]]*2+StudentData[[#This Row],[Projects_Submitted]]*4</f>
        <v>70.048000000000002</v>
      </c>
      <c r="M522">
        <f>StudentData[[#This Row],[Academic_Score]]*60%+StudentData[[#This Row],[Engagement_Score]]*30%+MIN(StudentData[[#This Row],[Study_Hours_per_Week]],20)/20*100*10%</f>
        <v>62.950800000000001</v>
      </c>
      <c r="N522" s="3" t="str" cm="1">
        <f t="array" ref="N522">_xlfn.IFS(StudentData[[#This Row],[Success_Score]]&gt;=85,"Exceptional",StudentData[[#This Row],[Success_Score]]&gt;=70,"Strong",StudentData[[#This Row],[Success_Score]]&gt;=55,"Developing",TRUE,"Needs Improvement")</f>
        <v>Developing</v>
      </c>
      <c r="O522" s="3" t="str">
        <f t="shared" si="16"/>
        <v>Medium Risk</v>
      </c>
      <c r="P522" s="3" t="str">
        <f t="shared" si="17"/>
        <v>24-25</v>
      </c>
    </row>
    <row r="523" spans="1:16">
      <c r="A523" t="s">
        <v>557</v>
      </c>
      <c r="B523">
        <v>24</v>
      </c>
      <c r="C523" t="s">
        <v>5</v>
      </c>
      <c r="D523">
        <v>78.010000000000005</v>
      </c>
      <c r="E523">
        <v>4</v>
      </c>
      <c r="F523">
        <v>4.53</v>
      </c>
      <c r="G523">
        <v>10.54</v>
      </c>
      <c r="H523">
        <v>45.24</v>
      </c>
      <c r="I523">
        <v>4</v>
      </c>
      <c r="J523">
        <v>2</v>
      </c>
      <c r="K523">
        <f>(StudentData[[#This Row],[Midterm_Grade]]*40%)+(StudentData[[#This Row],[Final_Grade]]*60%)</f>
        <v>31.360000000000003</v>
      </c>
      <c r="L523">
        <f>StudentData[[#This Row],[Attendance_Percentage]]*40%+StudentData[[#This Row],[Assignments_Completed]]*2+StudentData[[#This Row],[Class_Participation]]*2+StudentData[[#This Row],[Projects_Submitted]]*4</f>
        <v>56.26400000000001</v>
      </c>
      <c r="M523">
        <f>StudentData[[#This Row],[Academic_Score]]*60%+StudentData[[#This Row],[Engagement_Score]]*30%+MIN(StudentData[[#This Row],[Study_Hours_per_Week]],20)/20*100*10%</f>
        <v>37.6952</v>
      </c>
      <c r="N523" s="3" t="str" cm="1">
        <f t="array" ref="N52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23" s="3" t="str">
        <f t="shared" si="16"/>
        <v>Medium Risk</v>
      </c>
      <c r="P523" s="3" t="str">
        <f t="shared" si="17"/>
        <v>24-25</v>
      </c>
    </row>
    <row r="524" spans="1:16">
      <c r="A524" t="s">
        <v>558</v>
      </c>
      <c r="B524">
        <v>23</v>
      </c>
      <c r="C524" t="s">
        <v>6</v>
      </c>
      <c r="D524">
        <v>96.84</v>
      </c>
      <c r="E524">
        <v>3</v>
      </c>
      <c r="F524">
        <v>1.98</v>
      </c>
      <c r="G524">
        <v>55.38</v>
      </c>
      <c r="H524">
        <v>73.36</v>
      </c>
      <c r="I524">
        <v>5</v>
      </c>
      <c r="J524">
        <v>3</v>
      </c>
      <c r="K524">
        <f>(StudentData[[#This Row],[Midterm_Grade]]*40%)+(StudentData[[#This Row],[Final_Grade]]*60%)</f>
        <v>66.168000000000006</v>
      </c>
      <c r="L524">
        <f>StudentData[[#This Row],[Attendance_Percentage]]*40%+StudentData[[#This Row],[Assignments_Completed]]*2+StudentData[[#This Row],[Class_Participation]]*2+StudentData[[#This Row],[Projects_Submitted]]*4</f>
        <v>60.696000000000005</v>
      </c>
      <c r="M524">
        <f>StudentData[[#This Row],[Academic_Score]]*60%+StudentData[[#This Row],[Engagement_Score]]*30%+MIN(StudentData[[#This Row],[Study_Hours_per_Week]],20)/20*100*10%</f>
        <v>60.409599999999998</v>
      </c>
      <c r="N524" s="3" t="str" cm="1">
        <f t="array" ref="N524">_xlfn.IFS(StudentData[[#This Row],[Success_Score]]&gt;=85,"Exceptional",StudentData[[#This Row],[Success_Score]]&gt;=70,"Strong",StudentData[[#This Row],[Success_Score]]&gt;=55,"Developing",TRUE,"Needs Improvement")</f>
        <v>Developing</v>
      </c>
      <c r="O524" s="3" t="str">
        <f t="shared" si="16"/>
        <v>Low Risk</v>
      </c>
      <c r="P524" s="3" t="str">
        <f t="shared" si="17"/>
        <v>21-23</v>
      </c>
    </row>
    <row r="525" spans="1:16">
      <c r="A525" t="s">
        <v>559</v>
      </c>
      <c r="B525">
        <v>24</v>
      </c>
      <c r="C525" t="s">
        <v>6</v>
      </c>
      <c r="D525">
        <v>52.61</v>
      </c>
      <c r="E525">
        <v>6</v>
      </c>
      <c r="F525">
        <v>1.65</v>
      </c>
      <c r="G525">
        <v>51.3</v>
      </c>
      <c r="H525">
        <v>84</v>
      </c>
      <c r="I525">
        <v>0</v>
      </c>
      <c r="J525">
        <v>5</v>
      </c>
      <c r="K525">
        <f>(StudentData[[#This Row],[Midterm_Grade]]*40%)+(StudentData[[#This Row],[Final_Grade]]*60%)</f>
        <v>70.92</v>
      </c>
      <c r="L525">
        <f>StudentData[[#This Row],[Attendance_Percentage]]*40%+StudentData[[#This Row],[Assignments_Completed]]*2+StudentData[[#This Row],[Class_Participation]]*2+StudentData[[#This Row],[Projects_Submitted]]*4</f>
        <v>56.343999999999994</v>
      </c>
      <c r="M525">
        <f>StudentData[[#This Row],[Academic_Score]]*60%+StudentData[[#This Row],[Engagement_Score]]*30%+MIN(StudentData[[#This Row],[Study_Hours_per_Week]],20)/20*100*10%</f>
        <v>59.455199999999998</v>
      </c>
      <c r="N525" s="3" t="str" cm="1">
        <f t="array" ref="N525">_xlfn.IFS(StudentData[[#This Row],[Success_Score]]&gt;=85,"Exceptional",StudentData[[#This Row],[Success_Score]]&gt;=70,"Strong",StudentData[[#This Row],[Success_Score]]&gt;=55,"Developing",TRUE,"Needs Improvement")</f>
        <v>Developing</v>
      </c>
      <c r="O525" s="3" t="str">
        <f t="shared" si="16"/>
        <v>Medium Risk</v>
      </c>
      <c r="P525" s="3" t="str">
        <f t="shared" si="17"/>
        <v>24-25</v>
      </c>
    </row>
    <row r="526" spans="1:16">
      <c r="A526" t="s">
        <v>560</v>
      </c>
      <c r="B526">
        <v>19</v>
      </c>
      <c r="C526" t="s">
        <v>6</v>
      </c>
      <c r="D526">
        <v>70.94</v>
      </c>
      <c r="E526">
        <v>9</v>
      </c>
      <c r="F526">
        <v>2.4</v>
      </c>
      <c r="G526">
        <v>28.14</v>
      </c>
      <c r="H526">
        <v>54.5</v>
      </c>
      <c r="I526">
        <v>5</v>
      </c>
      <c r="J526">
        <v>0</v>
      </c>
      <c r="K526">
        <f>(StudentData[[#This Row],[Midterm_Grade]]*40%)+(StudentData[[#This Row],[Final_Grade]]*60%)</f>
        <v>43.955999999999996</v>
      </c>
      <c r="L526">
        <f>StudentData[[#This Row],[Attendance_Percentage]]*40%+StudentData[[#This Row],[Assignments_Completed]]*2+StudentData[[#This Row],[Class_Participation]]*2+StudentData[[#This Row],[Projects_Submitted]]*4</f>
        <v>51.176000000000002</v>
      </c>
      <c r="M526">
        <f>StudentData[[#This Row],[Academic_Score]]*60%+StudentData[[#This Row],[Engagement_Score]]*30%+MIN(StudentData[[#This Row],[Study_Hours_per_Week]],20)/20*100*10%</f>
        <v>44.226399999999998</v>
      </c>
      <c r="N526" s="3" t="str" cm="1">
        <f t="array" ref="N52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26" s="3" t="str">
        <f t="shared" si="16"/>
        <v>Medium Risk</v>
      </c>
      <c r="P526" s="3" t="str">
        <f t="shared" si="17"/>
        <v>18-20</v>
      </c>
    </row>
    <row r="527" spans="1:16">
      <c r="A527" t="s">
        <v>561</v>
      </c>
      <c r="B527">
        <v>24</v>
      </c>
      <c r="C527" t="s">
        <v>4</v>
      </c>
      <c r="D527">
        <v>63.01</v>
      </c>
      <c r="E527">
        <v>3</v>
      </c>
      <c r="F527">
        <v>7.1</v>
      </c>
      <c r="G527">
        <v>82.22</v>
      </c>
      <c r="H527">
        <v>8.68</v>
      </c>
      <c r="I527">
        <v>17</v>
      </c>
      <c r="J527">
        <v>2</v>
      </c>
      <c r="K527">
        <f>(StudentData[[#This Row],[Midterm_Grade]]*40%)+(StudentData[[#This Row],[Final_Grade]]*60%)</f>
        <v>38.095999999999997</v>
      </c>
      <c r="L527">
        <f>StudentData[[#This Row],[Attendance_Percentage]]*40%+StudentData[[#This Row],[Assignments_Completed]]*2+StudentData[[#This Row],[Class_Participation]]*2+StudentData[[#This Row],[Projects_Submitted]]*4</f>
        <v>53.403999999999996</v>
      </c>
      <c r="M527">
        <f>StudentData[[#This Row],[Academic_Score]]*60%+StudentData[[#This Row],[Engagement_Score]]*30%+MIN(StudentData[[#This Row],[Study_Hours_per_Week]],20)/20*100*10%</f>
        <v>47.378799999999998</v>
      </c>
      <c r="N527" s="3" t="str" cm="1">
        <f t="array" ref="N52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27" s="3" t="str">
        <f t="shared" si="16"/>
        <v>Medium Risk</v>
      </c>
      <c r="P527" s="3" t="str">
        <f t="shared" si="17"/>
        <v>24-25</v>
      </c>
    </row>
    <row r="528" spans="1:16">
      <c r="A528" t="s">
        <v>562</v>
      </c>
      <c r="B528">
        <v>20</v>
      </c>
      <c r="C528" t="s">
        <v>4</v>
      </c>
      <c r="D528">
        <v>86.54</v>
      </c>
      <c r="E528">
        <v>1</v>
      </c>
      <c r="F528">
        <v>2.73</v>
      </c>
      <c r="G528">
        <v>75.28</v>
      </c>
      <c r="H528">
        <v>23.68</v>
      </c>
      <c r="I528">
        <v>8</v>
      </c>
      <c r="J528">
        <v>4</v>
      </c>
      <c r="K528">
        <f>(StudentData[[#This Row],[Midterm_Grade]]*40%)+(StudentData[[#This Row],[Final_Grade]]*60%)</f>
        <v>44.32</v>
      </c>
      <c r="L528">
        <f>StudentData[[#This Row],[Attendance_Percentage]]*40%+StudentData[[#This Row],[Assignments_Completed]]*2+StudentData[[#This Row],[Class_Participation]]*2+StudentData[[#This Row],[Projects_Submitted]]*4</f>
        <v>58.076000000000008</v>
      </c>
      <c r="M528">
        <f>StudentData[[#This Row],[Academic_Score]]*60%+StudentData[[#This Row],[Engagement_Score]]*30%+MIN(StudentData[[#This Row],[Study_Hours_per_Week]],20)/20*100*10%</f>
        <v>48.014800000000001</v>
      </c>
      <c r="N528" s="3" t="str" cm="1">
        <f t="array" ref="N52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28" s="3" t="str">
        <f t="shared" si="16"/>
        <v>Medium Risk</v>
      </c>
      <c r="P528" s="3" t="str">
        <f t="shared" si="17"/>
        <v>18-20</v>
      </c>
    </row>
    <row r="529" spans="1:16">
      <c r="A529" t="s">
        <v>563</v>
      </c>
      <c r="B529">
        <v>19</v>
      </c>
      <c r="C529" t="s">
        <v>4</v>
      </c>
      <c r="D529">
        <v>99.06</v>
      </c>
      <c r="E529">
        <v>3</v>
      </c>
      <c r="F529">
        <v>3.41</v>
      </c>
      <c r="G529">
        <v>73.290000000000006</v>
      </c>
      <c r="H529">
        <v>16.489999999999998</v>
      </c>
      <c r="I529">
        <v>14</v>
      </c>
      <c r="J529">
        <v>2</v>
      </c>
      <c r="K529">
        <f>(StudentData[[#This Row],[Midterm_Grade]]*40%)+(StudentData[[#This Row],[Final_Grade]]*60%)</f>
        <v>39.21</v>
      </c>
      <c r="L529">
        <f>StudentData[[#This Row],[Attendance_Percentage]]*40%+StudentData[[#This Row],[Assignments_Completed]]*2+StudentData[[#This Row],[Class_Participation]]*2+StudentData[[#This Row],[Projects_Submitted]]*4</f>
        <v>60.444000000000003</v>
      </c>
      <c r="M529">
        <f>StudentData[[#This Row],[Academic_Score]]*60%+StudentData[[#This Row],[Engagement_Score]]*30%+MIN(StudentData[[#This Row],[Study_Hours_per_Week]],20)/20*100*10%</f>
        <v>48.659199999999998</v>
      </c>
      <c r="N529" s="3" t="str" cm="1">
        <f t="array" ref="N52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29" s="3" t="str">
        <f t="shared" si="16"/>
        <v>Medium Risk</v>
      </c>
      <c r="P529" s="3" t="str">
        <f t="shared" si="17"/>
        <v>18-20</v>
      </c>
    </row>
    <row r="530" spans="1:16">
      <c r="A530" t="s">
        <v>564</v>
      </c>
      <c r="B530">
        <v>19</v>
      </c>
      <c r="C530" t="s">
        <v>5</v>
      </c>
      <c r="D530">
        <v>62.83</v>
      </c>
      <c r="E530">
        <v>7</v>
      </c>
      <c r="F530">
        <v>4.49</v>
      </c>
      <c r="G530">
        <v>87.62</v>
      </c>
      <c r="H530">
        <v>12.46</v>
      </c>
      <c r="I530">
        <v>7</v>
      </c>
      <c r="J530">
        <v>4</v>
      </c>
      <c r="K530">
        <f>(StudentData[[#This Row],[Midterm_Grade]]*40%)+(StudentData[[#This Row],[Final_Grade]]*60%)</f>
        <v>42.524000000000001</v>
      </c>
      <c r="L530">
        <f>StudentData[[#This Row],[Attendance_Percentage]]*40%+StudentData[[#This Row],[Assignments_Completed]]*2+StudentData[[#This Row],[Class_Participation]]*2+StudentData[[#This Row],[Projects_Submitted]]*4</f>
        <v>64.112000000000009</v>
      </c>
      <c r="M530">
        <f>StudentData[[#This Row],[Academic_Score]]*60%+StudentData[[#This Row],[Engagement_Score]]*30%+MIN(StudentData[[#This Row],[Study_Hours_per_Week]],20)/20*100*10%</f>
        <v>48.248000000000005</v>
      </c>
      <c r="N530" s="3" t="str" cm="1">
        <f t="array" ref="N53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30" s="3" t="str">
        <f t="shared" si="16"/>
        <v>Medium Risk</v>
      </c>
      <c r="P530" s="3" t="str">
        <f t="shared" si="17"/>
        <v>18-20</v>
      </c>
    </row>
    <row r="531" spans="1:16">
      <c r="A531" t="s">
        <v>565</v>
      </c>
      <c r="B531">
        <v>19</v>
      </c>
      <c r="C531" t="s">
        <v>4</v>
      </c>
      <c r="D531">
        <v>82.71</v>
      </c>
      <c r="E531">
        <v>8</v>
      </c>
      <c r="F531">
        <v>9.1300000000000008</v>
      </c>
      <c r="G531">
        <v>72.28</v>
      </c>
      <c r="H531">
        <v>36.590000000000003</v>
      </c>
      <c r="I531">
        <v>18</v>
      </c>
      <c r="J531">
        <v>4</v>
      </c>
      <c r="K531">
        <f>(StudentData[[#This Row],[Midterm_Grade]]*40%)+(StudentData[[#This Row],[Final_Grade]]*60%)</f>
        <v>50.866</v>
      </c>
      <c r="L531">
        <f>StudentData[[#This Row],[Attendance_Percentage]]*40%+StudentData[[#This Row],[Assignments_Completed]]*2+StudentData[[#This Row],[Class_Participation]]*2+StudentData[[#This Row],[Projects_Submitted]]*4</f>
        <v>83.343999999999994</v>
      </c>
      <c r="M531">
        <f>StudentData[[#This Row],[Academic_Score]]*60%+StudentData[[#This Row],[Engagement_Score]]*30%+MIN(StudentData[[#This Row],[Study_Hours_per_Week]],20)/20*100*10%</f>
        <v>64.522799999999989</v>
      </c>
      <c r="N531" s="3" t="str" cm="1">
        <f t="array" ref="N531">_xlfn.IFS(StudentData[[#This Row],[Success_Score]]&gt;=85,"Exceptional",StudentData[[#This Row],[Success_Score]]&gt;=70,"Strong",StudentData[[#This Row],[Success_Score]]&gt;=55,"Developing",TRUE,"Needs Improvement")</f>
        <v>Developing</v>
      </c>
      <c r="O531" s="3" t="str">
        <f t="shared" si="16"/>
        <v>Medium Risk</v>
      </c>
      <c r="P531" s="3" t="str">
        <f t="shared" si="17"/>
        <v>18-20</v>
      </c>
    </row>
    <row r="532" spans="1:16">
      <c r="A532" t="s">
        <v>566</v>
      </c>
      <c r="B532">
        <v>18</v>
      </c>
      <c r="C532" t="s">
        <v>5</v>
      </c>
      <c r="D532">
        <v>59.9</v>
      </c>
      <c r="E532">
        <v>2</v>
      </c>
      <c r="F532">
        <v>1.89</v>
      </c>
      <c r="G532">
        <v>23.18</v>
      </c>
      <c r="H532">
        <v>22.94</v>
      </c>
      <c r="I532">
        <v>15</v>
      </c>
      <c r="J532">
        <v>5</v>
      </c>
      <c r="K532">
        <f>(StudentData[[#This Row],[Midterm_Grade]]*40%)+(StudentData[[#This Row],[Final_Grade]]*60%)</f>
        <v>23.036000000000001</v>
      </c>
      <c r="L532">
        <f>StudentData[[#This Row],[Attendance_Percentage]]*40%+StudentData[[#This Row],[Assignments_Completed]]*2+StudentData[[#This Row],[Class_Participation]]*2+StudentData[[#This Row],[Projects_Submitted]]*4</f>
        <v>51.74</v>
      </c>
      <c r="M532">
        <f>StudentData[[#This Row],[Academic_Score]]*60%+StudentData[[#This Row],[Engagement_Score]]*30%+MIN(StudentData[[#This Row],[Study_Hours_per_Week]],20)/20*100*10%</f>
        <v>36.843600000000002</v>
      </c>
      <c r="N532" s="3" t="str" cm="1">
        <f t="array" ref="N53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32" s="3" t="str">
        <f t="shared" si="16"/>
        <v>High Risk</v>
      </c>
      <c r="P532" s="3" t="str">
        <f t="shared" si="17"/>
        <v>18-20</v>
      </c>
    </row>
    <row r="533" spans="1:16">
      <c r="A533" t="s">
        <v>567</v>
      </c>
      <c r="B533">
        <v>25</v>
      </c>
      <c r="C533" t="s">
        <v>4</v>
      </c>
      <c r="D533">
        <v>78.27</v>
      </c>
      <c r="E533">
        <v>6</v>
      </c>
      <c r="F533">
        <v>0.05</v>
      </c>
      <c r="G533">
        <v>70.56</v>
      </c>
      <c r="H533">
        <v>21.83</v>
      </c>
      <c r="I533">
        <v>5</v>
      </c>
      <c r="J533">
        <v>4</v>
      </c>
      <c r="K533">
        <f>(StudentData[[#This Row],[Midterm_Grade]]*40%)+(StudentData[[#This Row],[Final_Grade]]*60%)</f>
        <v>41.322000000000003</v>
      </c>
      <c r="L533">
        <f>StudentData[[#This Row],[Attendance_Percentage]]*40%+StudentData[[#This Row],[Assignments_Completed]]*2+StudentData[[#This Row],[Class_Participation]]*2+StudentData[[#This Row],[Projects_Submitted]]*4</f>
        <v>59.408000000000001</v>
      </c>
      <c r="M533">
        <f>StudentData[[#This Row],[Academic_Score]]*60%+StudentData[[#This Row],[Engagement_Score]]*30%+MIN(StudentData[[#This Row],[Study_Hours_per_Week]],20)/20*100*10%</f>
        <v>45.115600000000001</v>
      </c>
      <c r="N533" s="3" t="str" cm="1">
        <f t="array" ref="N53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33" s="3" t="str">
        <f t="shared" si="16"/>
        <v>Medium Risk</v>
      </c>
      <c r="P533" s="3" t="str">
        <f t="shared" si="17"/>
        <v>24-25</v>
      </c>
    </row>
    <row r="534" spans="1:16">
      <c r="A534" t="s">
        <v>568</v>
      </c>
      <c r="B534">
        <v>18</v>
      </c>
      <c r="C534" t="s">
        <v>5</v>
      </c>
      <c r="D534">
        <v>73.2</v>
      </c>
      <c r="E534">
        <v>8</v>
      </c>
      <c r="F534">
        <v>0.6</v>
      </c>
      <c r="G534">
        <v>30.77</v>
      </c>
      <c r="H534">
        <v>5.47</v>
      </c>
      <c r="I534">
        <v>5</v>
      </c>
      <c r="J534">
        <v>1</v>
      </c>
      <c r="K534">
        <f>(StudentData[[#This Row],[Midterm_Grade]]*40%)+(StudentData[[#This Row],[Final_Grade]]*60%)</f>
        <v>15.59</v>
      </c>
      <c r="L534">
        <f>StudentData[[#This Row],[Attendance_Percentage]]*40%+StudentData[[#This Row],[Assignments_Completed]]*2+StudentData[[#This Row],[Class_Participation]]*2+StudentData[[#This Row],[Projects_Submitted]]*4</f>
        <v>50.480000000000004</v>
      </c>
      <c r="M534">
        <f>StudentData[[#This Row],[Academic_Score]]*60%+StudentData[[#This Row],[Engagement_Score]]*30%+MIN(StudentData[[#This Row],[Study_Hours_per_Week]],20)/20*100*10%</f>
        <v>26.997999999999998</v>
      </c>
      <c r="N534" s="3" t="str" cm="1">
        <f t="array" ref="N53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34" s="3" t="str">
        <f t="shared" si="16"/>
        <v>Medium Risk</v>
      </c>
      <c r="P534" s="3" t="str">
        <f t="shared" si="17"/>
        <v>18-20</v>
      </c>
    </row>
    <row r="535" spans="1:16">
      <c r="A535" t="s">
        <v>569</v>
      </c>
      <c r="B535">
        <v>18</v>
      </c>
      <c r="C535" t="s">
        <v>5</v>
      </c>
      <c r="D535">
        <v>98.6</v>
      </c>
      <c r="E535">
        <v>10</v>
      </c>
      <c r="F535">
        <v>9.0500000000000007</v>
      </c>
      <c r="G535">
        <v>24.22</v>
      </c>
      <c r="H535">
        <v>1.77</v>
      </c>
      <c r="I535">
        <v>2</v>
      </c>
      <c r="J535">
        <v>3</v>
      </c>
      <c r="K535">
        <f>(StudentData[[#This Row],[Midterm_Grade]]*40%)+(StudentData[[#This Row],[Final_Grade]]*60%)</f>
        <v>10.75</v>
      </c>
      <c r="L535">
        <f>StudentData[[#This Row],[Attendance_Percentage]]*40%+StudentData[[#This Row],[Assignments_Completed]]*2+StudentData[[#This Row],[Class_Participation]]*2+StudentData[[#This Row],[Projects_Submitted]]*4</f>
        <v>89.539999999999992</v>
      </c>
      <c r="M535">
        <f>StudentData[[#This Row],[Academic_Score]]*60%+StudentData[[#This Row],[Engagement_Score]]*30%+MIN(StudentData[[#This Row],[Study_Hours_per_Week]],20)/20*100*10%</f>
        <v>34.311999999999998</v>
      </c>
      <c r="N535" s="3" t="str" cm="1">
        <f t="array" ref="N53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35" s="3" t="str">
        <f t="shared" si="16"/>
        <v>Medium Risk</v>
      </c>
      <c r="P535" s="3" t="str">
        <f t="shared" si="17"/>
        <v>18-20</v>
      </c>
    </row>
    <row r="536" spans="1:16">
      <c r="A536" t="s">
        <v>570</v>
      </c>
      <c r="B536">
        <v>20</v>
      </c>
      <c r="C536" t="s">
        <v>5</v>
      </c>
      <c r="D536">
        <v>80.430000000000007</v>
      </c>
      <c r="E536">
        <v>3</v>
      </c>
      <c r="F536">
        <v>6.48</v>
      </c>
      <c r="G536">
        <v>7.3</v>
      </c>
      <c r="H536">
        <v>10.28</v>
      </c>
      <c r="I536">
        <v>9</v>
      </c>
      <c r="J536">
        <v>2</v>
      </c>
      <c r="K536">
        <f>(StudentData[[#This Row],[Midterm_Grade]]*40%)+(StudentData[[#This Row],[Final_Grade]]*60%)</f>
        <v>9.0879999999999992</v>
      </c>
      <c r="L536">
        <f>StudentData[[#This Row],[Attendance_Percentage]]*40%+StudentData[[#This Row],[Assignments_Completed]]*2+StudentData[[#This Row],[Class_Participation]]*2+StudentData[[#This Row],[Projects_Submitted]]*4</f>
        <v>59.132000000000005</v>
      </c>
      <c r="M536">
        <f>StudentData[[#This Row],[Academic_Score]]*60%+StudentData[[#This Row],[Engagement_Score]]*30%+MIN(StudentData[[#This Row],[Study_Hours_per_Week]],20)/20*100*10%</f>
        <v>27.692399999999999</v>
      </c>
      <c r="N536" s="3" t="str" cm="1">
        <f t="array" ref="N53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36" s="3" t="str">
        <f t="shared" si="16"/>
        <v>Medium Risk</v>
      </c>
      <c r="P536" s="3" t="str">
        <f t="shared" si="17"/>
        <v>18-20</v>
      </c>
    </row>
    <row r="537" spans="1:16">
      <c r="A537" t="s">
        <v>571</v>
      </c>
      <c r="B537">
        <v>23</v>
      </c>
      <c r="C537" t="s">
        <v>4</v>
      </c>
      <c r="D537">
        <v>67.48</v>
      </c>
      <c r="E537">
        <v>9</v>
      </c>
      <c r="F537">
        <v>2.73</v>
      </c>
      <c r="G537">
        <v>74.400000000000006</v>
      </c>
      <c r="H537">
        <v>17.22</v>
      </c>
      <c r="I537">
        <v>0</v>
      </c>
      <c r="J537">
        <v>3</v>
      </c>
      <c r="K537">
        <f>(StudentData[[#This Row],[Midterm_Grade]]*40%)+(StudentData[[#This Row],[Final_Grade]]*60%)</f>
        <v>40.092000000000006</v>
      </c>
      <c r="L537">
        <f>StudentData[[#This Row],[Attendance_Percentage]]*40%+StudentData[[#This Row],[Assignments_Completed]]*2+StudentData[[#This Row],[Class_Participation]]*2+StudentData[[#This Row],[Projects_Submitted]]*4</f>
        <v>62.452000000000005</v>
      </c>
      <c r="M537">
        <f>StudentData[[#This Row],[Academic_Score]]*60%+StudentData[[#This Row],[Engagement_Score]]*30%+MIN(StudentData[[#This Row],[Study_Hours_per_Week]],20)/20*100*10%</f>
        <v>42.790800000000004</v>
      </c>
      <c r="N537" s="3" t="str" cm="1">
        <f t="array" ref="N53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37" s="3" t="str">
        <f t="shared" si="16"/>
        <v>Medium Risk</v>
      </c>
      <c r="P537" s="3" t="str">
        <f t="shared" si="17"/>
        <v>21-23</v>
      </c>
    </row>
    <row r="538" spans="1:16">
      <c r="A538" t="s">
        <v>572</v>
      </c>
      <c r="B538">
        <v>25</v>
      </c>
      <c r="C538" t="s">
        <v>5</v>
      </c>
      <c r="D538">
        <v>55.7</v>
      </c>
      <c r="E538">
        <v>2</v>
      </c>
      <c r="F538">
        <v>1.77</v>
      </c>
      <c r="G538">
        <v>71.099999999999994</v>
      </c>
      <c r="H538">
        <v>43.1</v>
      </c>
      <c r="I538">
        <v>13</v>
      </c>
      <c r="J538">
        <v>0</v>
      </c>
      <c r="K538">
        <f>(StudentData[[#This Row],[Midterm_Grade]]*40%)+(StudentData[[#This Row],[Final_Grade]]*60%)</f>
        <v>54.3</v>
      </c>
      <c r="L538">
        <f>StudentData[[#This Row],[Attendance_Percentage]]*40%+StudentData[[#This Row],[Assignments_Completed]]*2+StudentData[[#This Row],[Class_Participation]]*2+StudentData[[#This Row],[Projects_Submitted]]*4</f>
        <v>29.82</v>
      </c>
      <c r="M538">
        <f>StudentData[[#This Row],[Academic_Score]]*60%+StudentData[[#This Row],[Engagement_Score]]*30%+MIN(StudentData[[#This Row],[Study_Hours_per_Week]],20)/20*100*10%</f>
        <v>48.025999999999996</v>
      </c>
      <c r="N538" s="3" t="str" cm="1">
        <f t="array" ref="N53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38" s="3" t="str">
        <f t="shared" si="16"/>
        <v>Medium Risk</v>
      </c>
      <c r="P538" s="3" t="str">
        <f t="shared" si="17"/>
        <v>24-25</v>
      </c>
    </row>
    <row r="539" spans="1:16">
      <c r="A539" t="s">
        <v>573</v>
      </c>
      <c r="B539">
        <v>24</v>
      </c>
      <c r="C539" t="s">
        <v>4</v>
      </c>
      <c r="D539">
        <v>57.56</v>
      </c>
      <c r="E539">
        <v>4</v>
      </c>
      <c r="F539">
        <v>2.94</v>
      </c>
      <c r="G539">
        <v>23.45</v>
      </c>
      <c r="H539">
        <v>51.05</v>
      </c>
      <c r="I539">
        <v>3</v>
      </c>
      <c r="J539">
        <v>2</v>
      </c>
      <c r="K539">
        <f>(StudentData[[#This Row],[Midterm_Grade]]*40%)+(StudentData[[#This Row],[Final_Grade]]*60%)</f>
        <v>40.01</v>
      </c>
      <c r="L539">
        <f>StudentData[[#This Row],[Attendance_Percentage]]*40%+StudentData[[#This Row],[Assignments_Completed]]*2+StudentData[[#This Row],[Class_Participation]]*2+StudentData[[#This Row],[Projects_Submitted]]*4</f>
        <v>44.904000000000003</v>
      </c>
      <c r="M539">
        <f>StudentData[[#This Row],[Academic_Score]]*60%+StudentData[[#This Row],[Engagement_Score]]*30%+MIN(StudentData[[#This Row],[Study_Hours_per_Week]],20)/20*100*10%</f>
        <v>38.977199999999996</v>
      </c>
      <c r="N539" s="3" t="str" cm="1">
        <f t="array" ref="N53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39" s="3" t="str">
        <f t="shared" si="16"/>
        <v>High Risk</v>
      </c>
      <c r="P539" s="3" t="str">
        <f t="shared" si="17"/>
        <v>24-25</v>
      </c>
    </row>
    <row r="540" spans="1:16">
      <c r="A540" t="s">
        <v>574</v>
      </c>
      <c r="B540">
        <v>22</v>
      </c>
      <c r="C540" t="s">
        <v>5</v>
      </c>
      <c r="D540">
        <v>61.27</v>
      </c>
      <c r="E540">
        <v>0</v>
      </c>
      <c r="F540">
        <v>1.1499999999999999</v>
      </c>
      <c r="G540">
        <v>74.94</v>
      </c>
      <c r="H540">
        <v>14.06</v>
      </c>
      <c r="I540">
        <v>11</v>
      </c>
      <c r="J540">
        <v>3</v>
      </c>
      <c r="K540">
        <f>(StudentData[[#This Row],[Midterm_Grade]]*40%)+(StudentData[[#This Row],[Final_Grade]]*60%)</f>
        <v>38.411999999999999</v>
      </c>
      <c r="L540">
        <f>StudentData[[#This Row],[Attendance_Percentage]]*40%+StudentData[[#This Row],[Assignments_Completed]]*2+StudentData[[#This Row],[Class_Participation]]*2+StudentData[[#This Row],[Projects_Submitted]]*4</f>
        <v>38.808000000000007</v>
      </c>
      <c r="M540">
        <f>StudentData[[#This Row],[Academic_Score]]*60%+StudentData[[#This Row],[Engagement_Score]]*30%+MIN(StudentData[[#This Row],[Study_Hours_per_Week]],20)/20*100*10%</f>
        <v>40.189599999999999</v>
      </c>
      <c r="N540" s="3" t="str" cm="1">
        <f t="array" ref="N54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40" s="3" t="str">
        <f t="shared" si="16"/>
        <v>Medium Risk</v>
      </c>
      <c r="P540" s="3" t="str">
        <f t="shared" si="17"/>
        <v>21-23</v>
      </c>
    </row>
    <row r="541" spans="1:16">
      <c r="A541" t="s">
        <v>575</v>
      </c>
      <c r="B541">
        <v>19</v>
      </c>
      <c r="C541" t="s">
        <v>5</v>
      </c>
      <c r="D541">
        <v>62.55</v>
      </c>
      <c r="E541">
        <v>2</v>
      </c>
      <c r="F541">
        <v>9.42</v>
      </c>
      <c r="G541">
        <v>91.78</v>
      </c>
      <c r="H541">
        <v>42.48</v>
      </c>
      <c r="I541">
        <v>5</v>
      </c>
      <c r="J541">
        <v>3</v>
      </c>
      <c r="K541">
        <f>(StudentData[[#This Row],[Midterm_Grade]]*40%)+(StudentData[[#This Row],[Final_Grade]]*60%)</f>
        <v>62.2</v>
      </c>
      <c r="L541">
        <f>StudentData[[#This Row],[Attendance_Percentage]]*40%+StudentData[[#This Row],[Assignments_Completed]]*2+StudentData[[#This Row],[Class_Participation]]*2+StudentData[[#This Row],[Projects_Submitted]]*4</f>
        <v>59.86</v>
      </c>
      <c r="M541">
        <f>StudentData[[#This Row],[Academic_Score]]*60%+StudentData[[#This Row],[Engagement_Score]]*30%+MIN(StudentData[[#This Row],[Study_Hours_per_Week]],20)/20*100*10%</f>
        <v>57.777999999999999</v>
      </c>
      <c r="N541" s="3" t="str" cm="1">
        <f t="array" ref="N541">_xlfn.IFS(StudentData[[#This Row],[Success_Score]]&gt;=85,"Exceptional",StudentData[[#This Row],[Success_Score]]&gt;=70,"Strong",StudentData[[#This Row],[Success_Score]]&gt;=55,"Developing",TRUE,"Needs Improvement")</f>
        <v>Developing</v>
      </c>
      <c r="O541" s="3" t="str">
        <f t="shared" si="16"/>
        <v>Medium Risk</v>
      </c>
      <c r="P541" s="3" t="str">
        <f t="shared" si="17"/>
        <v>18-20</v>
      </c>
    </row>
    <row r="542" spans="1:16">
      <c r="A542" t="s">
        <v>576</v>
      </c>
      <c r="B542">
        <v>24</v>
      </c>
      <c r="C542" t="s">
        <v>4</v>
      </c>
      <c r="D542">
        <v>92.53</v>
      </c>
      <c r="E542">
        <v>7</v>
      </c>
      <c r="F542">
        <v>7.84</v>
      </c>
      <c r="G542">
        <v>10.8</v>
      </c>
      <c r="H542">
        <v>34.17</v>
      </c>
      <c r="I542">
        <v>10</v>
      </c>
      <c r="J542">
        <v>5</v>
      </c>
      <c r="K542">
        <f>(StudentData[[#This Row],[Midterm_Grade]]*40%)+(StudentData[[#This Row],[Final_Grade]]*60%)</f>
        <v>24.821999999999999</v>
      </c>
      <c r="L542">
        <f>StudentData[[#This Row],[Attendance_Percentage]]*40%+StudentData[[#This Row],[Assignments_Completed]]*2+StudentData[[#This Row],[Class_Participation]]*2+StudentData[[#This Row],[Projects_Submitted]]*4</f>
        <v>86.692000000000007</v>
      </c>
      <c r="M542">
        <f>StudentData[[#This Row],[Academic_Score]]*60%+StudentData[[#This Row],[Engagement_Score]]*30%+MIN(StudentData[[#This Row],[Study_Hours_per_Week]],20)/20*100*10%</f>
        <v>45.900799999999997</v>
      </c>
      <c r="N542" s="3" t="str" cm="1">
        <f t="array" ref="N54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42" s="3" t="str">
        <f t="shared" si="16"/>
        <v>Medium Risk</v>
      </c>
      <c r="P542" s="3" t="str">
        <f t="shared" si="17"/>
        <v>24-25</v>
      </c>
    </row>
    <row r="543" spans="1:16">
      <c r="A543" t="s">
        <v>577</v>
      </c>
      <c r="B543">
        <v>19</v>
      </c>
      <c r="C543" t="s">
        <v>4</v>
      </c>
      <c r="D543">
        <v>78.06</v>
      </c>
      <c r="E543">
        <v>10</v>
      </c>
      <c r="F543">
        <v>4.62</v>
      </c>
      <c r="G543">
        <v>23.26</v>
      </c>
      <c r="H543">
        <v>18.34</v>
      </c>
      <c r="I543">
        <v>11</v>
      </c>
      <c r="J543">
        <v>5</v>
      </c>
      <c r="K543">
        <f>(StudentData[[#This Row],[Midterm_Grade]]*40%)+(StudentData[[#This Row],[Final_Grade]]*60%)</f>
        <v>20.308</v>
      </c>
      <c r="L543">
        <f>StudentData[[#This Row],[Attendance_Percentage]]*40%+StudentData[[#This Row],[Assignments_Completed]]*2+StudentData[[#This Row],[Class_Participation]]*2+StudentData[[#This Row],[Projects_Submitted]]*4</f>
        <v>80.463999999999999</v>
      </c>
      <c r="M543">
        <f>StudentData[[#This Row],[Academic_Score]]*60%+StudentData[[#This Row],[Engagement_Score]]*30%+MIN(StudentData[[#This Row],[Study_Hours_per_Week]],20)/20*100*10%</f>
        <v>41.823999999999998</v>
      </c>
      <c r="N543" s="3" t="str" cm="1">
        <f t="array" ref="N54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43" s="3" t="str">
        <f t="shared" si="16"/>
        <v>Medium Risk</v>
      </c>
      <c r="P543" s="3" t="str">
        <f t="shared" si="17"/>
        <v>18-20</v>
      </c>
    </row>
    <row r="544" spans="1:16">
      <c r="A544" t="s">
        <v>578</v>
      </c>
      <c r="B544">
        <v>20</v>
      </c>
      <c r="C544" t="s">
        <v>5</v>
      </c>
      <c r="D544">
        <v>76.17</v>
      </c>
      <c r="E544">
        <v>7</v>
      </c>
      <c r="F544">
        <v>8.65</v>
      </c>
      <c r="G544">
        <v>75.03</v>
      </c>
      <c r="H544">
        <v>0.68</v>
      </c>
      <c r="I544">
        <v>9</v>
      </c>
      <c r="J544">
        <v>0</v>
      </c>
      <c r="K544">
        <f>(StudentData[[#This Row],[Midterm_Grade]]*40%)+(StudentData[[#This Row],[Final_Grade]]*60%)</f>
        <v>30.42</v>
      </c>
      <c r="L544">
        <f>StudentData[[#This Row],[Attendance_Percentage]]*40%+StudentData[[#This Row],[Assignments_Completed]]*2+StudentData[[#This Row],[Class_Participation]]*2+StudentData[[#This Row],[Projects_Submitted]]*4</f>
        <v>61.768000000000001</v>
      </c>
      <c r="M544">
        <f>StudentData[[#This Row],[Academic_Score]]*60%+StudentData[[#This Row],[Engagement_Score]]*30%+MIN(StudentData[[#This Row],[Study_Hours_per_Week]],20)/20*100*10%</f>
        <v>41.282399999999996</v>
      </c>
      <c r="N544" s="3" t="str" cm="1">
        <f t="array" ref="N54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44" s="3" t="str">
        <f t="shared" si="16"/>
        <v>Medium Risk</v>
      </c>
      <c r="P544" s="3" t="str">
        <f t="shared" si="17"/>
        <v>18-20</v>
      </c>
    </row>
    <row r="545" spans="1:16">
      <c r="A545" t="s">
        <v>579</v>
      </c>
      <c r="B545">
        <v>19</v>
      </c>
      <c r="C545" t="s">
        <v>4</v>
      </c>
      <c r="D545">
        <v>55.74</v>
      </c>
      <c r="E545">
        <v>3</v>
      </c>
      <c r="F545">
        <v>2.4900000000000002</v>
      </c>
      <c r="G545">
        <v>27.45</v>
      </c>
      <c r="H545">
        <v>46.7</v>
      </c>
      <c r="I545">
        <v>17</v>
      </c>
      <c r="J545">
        <v>4</v>
      </c>
      <c r="K545">
        <f>(StudentData[[#This Row],[Midterm_Grade]]*40%)+(StudentData[[#This Row],[Final_Grade]]*60%)</f>
        <v>39</v>
      </c>
      <c r="L545">
        <f>StudentData[[#This Row],[Attendance_Percentage]]*40%+StudentData[[#This Row],[Assignments_Completed]]*2+StudentData[[#This Row],[Class_Participation]]*2+StudentData[[#This Row],[Projects_Submitted]]*4</f>
        <v>49.276000000000003</v>
      </c>
      <c r="M545">
        <f>StudentData[[#This Row],[Academic_Score]]*60%+StudentData[[#This Row],[Engagement_Score]]*30%+MIN(StudentData[[#This Row],[Study_Hours_per_Week]],20)/20*100*10%</f>
        <v>46.6828</v>
      </c>
      <c r="N545" s="3" t="str" cm="1">
        <f t="array" ref="N54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45" s="3" t="str">
        <f t="shared" si="16"/>
        <v>High Risk</v>
      </c>
      <c r="P545" s="3" t="str">
        <f t="shared" si="17"/>
        <v>18-20</v>
      </c>
    </row>
    <row r="546" spans="1:16">
      <c r="A546" t="s">
        <v>580</v>
      </c>
      <c r="B546">
        <v>18</v>
      </c>
      <c r="C546" t="s">
        <v>4</v>
      </c>
      <c r="D546">
        <v>93.01</v>
      </c>
      <c r="E546">
        <v>1</v>
      </c>
      <c r="F546">
        <v>7.17</v>
      </c>
      <c r="G546">
        <v>62.47</v>
      </c>
      <c r="H546">
        <v>68.569999999999993</v>
      </c>
      <c r="I546">
        <v>6</v>
      </c>
      <c r="J546">
        <v>2</v>
      </c>
      <c r="K546">
        <f>(StudentData[[#This Row],[Midterm_Grade]]*40%)+(StudentData[[#This Row],[Final_Grade]]*60%)</f>
        <v>66.13</v>
      </c>
      <c r="L546">
        <f>StudentData[[#This Row],[Attendance_Percentage]]*40%+StudentData[[#This Row],[Assignments_Completed]]*2+StudentData[[#This Row],[Class_Participation]]*2+StudentData[[#This Row],[Projects_Submitted]]*4</f>
        <v>61.543999999999997</v>
      </c>
      <c r="M546">
        <f>StudentData[[#This Row],[Academic_Score]]*60%+StudentData[[#This Row],[Engagement_Score]]*30%+MIN(StudentData[[#This Row],[Study_Hours_per_Week]],20)/20*100*10%</f>
        <v>61.141199999999998</v>
      </c>
      <c r="N546" s="3" t="str" cm="1">
        <f t="array" ref="N546">_xlfn.IFS(StudentData[[#This Row],[Success_Score]]&gt;=85,"Exceptional",StudentData[[#This Row],[Success_Score]]&gt;=70,"Strong",StudentData[[#This Row],[Success_Score]]&gt;=55,"Developing",TRUE,"Needs Improvement")</f>
        <v>Developing</v>
      </c>
      <c r="O546" s="3" t="str">
        <f t="shared" si="16"/>
        <v>Low Risk</v>
      </c>
      <c r="P546" s="3" t="str">
        <f t="shared" si="17"/>
        <v>18-20</v>
      </c>
    </row>
    <row r="547" spans="1:16">
      <c r="A547" t="s">
        <v>581</v>
      </c>
      <c r="B547">
        <v>25</v>
      </c>
      <c r="C547" t="s">
        <v>4</v>
      </c>
      <c r="D547">
        <v>86.14</v>
      </c>
      <c r="E547">
        <v>7</v>
      </c>
      <c r="F547">
        <v>8.56</v>
      </c>
      <c r="G547">
        <v>8.1199999999999992</v>
      </c>
      <c r="H547">
        <v>22.63</v>
      </c>
      <c r="I547">
        <v>6</v>
      </c>
      <c r="J547">
        <v>5</v>
      </c>
      <c r="K547">
        <f>(StudentData[[#This Row],[Midterm_Grade]]*40%)+(StudentData[[#This Row],[Final_Grade]]*60%)</f>
        <v>16.826000000000001</v>
      </c>
      <c r="L547">
        <f>StudentData[[#This Row],[Attendance_Percentage]]*40%+StudentData[[#This Row],[Assignments_Completed]]*2+StudentData[[#This Row],[Class_Participation]]*2+StudentData[[#This Row],[Projects_Submitted]]*4</f>
        <v>85.576000000000008</v>
      </c>
      <c r="M547">
        <f>StudentData[[#This Row],[Academic_Score]]*60%+StudentData[[#This Row],[Engagement_Score]]*30%+MIN(StudentData[[#This Row],[Study_Hours_per_Week]],20)/20*100*10%</f>
        <v>38.7684</v>
      </c>
      <c r="N547" s="3" t="str" cm="1">
        <f t="array" ref="N54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47" s="3" t="str">
        <f t="shared" si="16"/>
        <v>Medium Risk</v>
      </c>
      <c r="P547" s="3" t="str">
        <f t="shared" si="17"/>
        <v>24-25</v>
      </c>
    </row>
    <row r="548" spans="1:16">
      <c r="A548" t="s">
        <v>582</v>
      </c>
      <c r="B548">
        <v>22</v>
      </c>
      <c r="C548" t="s">
        <v>5</v>
      </c>
      <c r="D548">
        <v>53.38</v>
      </c>
      <c r="E548">
        <v>7</v>
      </c>
      <c r="F548">
        <v>3.57</v>
      </c>
      <c r="G548">
        <v>45.22</v>
      </c>
      <c r="H548">
        <v>13.18</v>
      </c>
      <c r="I548">
        <v>10</v>
      </c>
      <c r="J548">
        <v>2</v>
      </c>
      <c r="K548">
        <f>(StudentData[[#This Row],[Midterm_Grade]]*40%)+(StudentData[[#This Row],[Final_Grade]]*60%)</f>
        <v>25.996000000000002</v>
      </c>
      <c r="L548">
        <f>StudentData[[#This Row],[Attendance_Percentage]]*40%+StudentData[[#This Row],[Assignments_Completed]]*2+StudentData[[#This Row],[Class_Participation]]*2+StudentData[[#This Row],[Projects_Submitted]]*4</f>
        <v>50.492000000000004</v>
      </c>
      <c r="M548">
        <f>StudentData[[#This Row],[Academic_Score]]*60%+StudentData[[#This Row],[Engagement_Score]]*30%+MIN(StudentData[[#This Row],[Study_Hours_per_Week]],20)/20*100*10%</f>
        <v>35.745199999999997</v>
      </c>
      <c r="N548" s="3" t="str" cm="1">
        <f t="array" ref="N54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48" s="3" t="str">
        <f t="shared" si="16"/>
        <v>High Risk</v>
      </c>
      <c r="P548" s="3" t="str">
        <f t="shared" si="17"/>
        <v>21-23</v>
      </c>
    </row>
    <row r="549" spans="1:16">
      <c r="A549" t="s">
        <v>583</v>
      </c>
      <c r="B549">
        <v>21</v>
      </c>
      <c r="C549" t="s">
        <v>5</v>
      </c>
      <c r="D549">
        <v>85.39</v>
      </c>
      <c r="E549">
        <v>9</v>
      </c>
      <c r="F549">
        <v>7.57</v>
      </c>
      <c r="G549">
        <v>73.91</v>
      </c>
      <c r="H549">
        <v>88.7</v>
      </c>
      <c r="I549">
        <v>3</v>
      </c>
      <c r="J549">
        <v>0</v>
      </c>
      <c r="K549">
        <f>(StudentData[[#This Row],[Midterm_Grade]]*40%)+(StudentData[[#This Row],[Final_Grade]]*60%)</f>
        <v>82.783999999999992</v>
      </c>
      <c r="L549">
        <f>StudentData[[#This Row],[Attendance_Percentage]]*40%+StudentData[[#This Row],[Assignments_Completed]]*2+StudentData[[#This Row],[Class_Participation]]*2+StudentData[[#This Row],[Projects_Submitted]]*4</f>
        <v>67.295999999999992</v>
      </c>
      <c r="M549">
        <f>StudentData[[#This Row],[Academic_Score]]*60%+StudentData[[#This Row],[Engagement_Score]]*30%+MIN(StudentData[[#This Row],[Study_Hours_per_Week]],20)/20*100*10%</f>
        <v>71.359199999999987</v>
      </c>
      <c r="N549" s="3" t="str" cm="1">
        <f t="array" ref="N549">_xlfn.IFS(StudentData[[#This Row],[Success_Score]]&gt;=85,"Exceptional",StudentData[[#This Row],[Success_Score]]&gt;=70,"Strong",StudentData[[#This Row],[Success_Score]]&gt;=55,"Developing",TRUE,"Needs Improvement")</f>
        <v>Strong</v>
      </c>
      <c r="O549" s="3" t="str">
        <f t="shared" si="16"/>
        <v>Low Risk</v>
      </c>
      <c r="P549" s="3" t="str">
        <f t="shared" si="17"/>
        <v>21-23</v>
      </c>
    </row>
    <row r="550" spans="1:16">
      <c r="A550" t="s">
        <v>584</v>
      </c>
      <c r="B550">
        <v>19</v>
      </c>
      <c r="C550" t="s">
        <v>4</v>
      </c>
      <c r="D550">
        <v>77.180000000000007</v>
      </c>
      <c r="E550">
        <v>3</v>
      </c>
      <c r="F550">
        <v>2.95</v>
      </c>
      <c r="G550">
        <v>68.650000000000006</v>
      </c>
      <c r="H550">
        <v>27.5</v>
      </c>
      <c r="I550">
        <v>19</v>
      </c>
      <c r="J550">
        <v>5</v>
      </c>
      <c r="K550">
        <f>(StudentData[[#This Row],[Midterm_Grade]]*40%)+(StudentData[[#This Row],[Final_Grade]]*60%)</f>
        <v>43.960000000000008</v>
      </c>
      <c r="L550">
        <f>StudentData[[#This Row],[Attendance_Percentage]]*40%+StudentData[[#This Row],[Assignments_Completed]]*2+StudentData[[#This Row],[Class_Participation]]*2+StudentData[[#This Row],[Projects_Submitted]]*4</f>
        <v>62.771999999999998</v>
      </c>
      <c r="M550">
        <f>StudentData[[#This Row],[Academic_Score]]*60%+StudentData[[#This Row],[Engagement_Score]]*30%+MIN(StudentData[[#This Row],[Study_Hours_per_Week]],20)/20*100*10%</f>
        <v>54.707599999999999</v>
      </c>
      <c r="N550" s="3" t="str" cm="1">
        <f t="array" ref="N55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50" s="3" t="str">
        <f t="shared" si="16"/>
        <v>Medium Risk</v>
      </c>
      <c r="P550" s="3" t="str">
        <f t="shared" si="17"/>
        <v>18-20</v>
      </c>
    </row>
    <row r="551" spans="1:16">
      <c r="A551" t="s">
        <v>585</v>
      </c>
      <c r="B551">
        <v>24</v>
      </c>
      <c r="C551" t="s">
        <v>5</v>
      </c>
      <c r="D551">
        <v>54.09</v>
      </c>
      <c r="E551">
        <v>2</v>
      </c>
      <c r="F551">
        <v>2.99</v>
      </c>
      <c r="G551">
        <v>81.510000000000005</v>
      </c>
      <c r="H551">
        <v>22.36</v>
      </c>
      <c r="I551">
        <v>0</v>
      </c>
      <c r="J551">
        <v>5</v>
      </c>
      <c r="K551">
        <f>(StudentData[[#This Row],[Midterm_Grade]]*40%)+(StudentData[[#This Row],[Final_Grade]]*60%)</f>
        <v>46.02</v>
      </c>
      <c r="L551">
        <f>StudentData[[#This Row],[Attendance_Percentage]]*40%+StudentData[[#This Row],[Assignments_Completed]]*2+StudentData[[#This Row],[Class_Participation]]*2+StudentData[[#This Row],[Projects_Submitted]]*4</f>
        <v>51.616</v>
      </c>
      <c r="M551">
        <f>StudentData[[#This Row],[Academic_Score]]*60%+StudentData[[#This Row],[Engagement_Score]]*30%+MIN(StudentData[[#This Row],[Study_Hours_per_Week]],20)/20*100*10%</f>
        <v>43.096800000000002</v>
      </c>
      <c r="N551" s="3" t="str" cm="1">
        <f t="array" ref="N55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51" s="3" t="str">
        <f t="shared" si="16"/>
        <v>High Risk</v>
      </c>
      <c r="P551" s="3" t="str">
        <f t="shared" si="17"/>
        <v>24-25</v>
      </c>
    </row>
    <row r="552" spans="1:16">
      <c r="A552" t="s">
        <v>586</v>
      </c>
      <c r="B552">
        <v>18</v>
      </c>
      <c r="C552" t="s">
        <v>4</v>
      </c>
      <c r="D552">
        <v>72.92</v>
      </c>
      <c r="E552">
        <v>1</v>
      </c>
      <c r="F552">
        <v>1.07</v>
      </c>
      <c r="G552">
        <v>87.75</v>
      </c>
      <c r="H552">
        <v>85.71</v>
      </c>
      <c r="I552">
        <v>12</v>
      </c>
      <c r="J552">
        <v>4</v>
      </c>
      <c r="K552">
        <f>(StudentData[[#This Row],[Midterm_Grade]]*40%)+(StudentData[[#This Row],[Final_Grade]]*60%)</f>
        <v>86.525999999999996</v>
      </c>
      <c r="L552">
        <f>StudentData[[#This Row],[Attendance_Percentage]]*40%+StudentData[[#This Row],[Assignments_Completed]]*2+StudentData[[#This Row],[Class_Participation]]*2+StudentData[[#This Row],[Projects_Submitted]]*4</f>
        <v>49.308</v>
      </c>
      <c r="M552">
        <f>StudentData[[#This Row],[Academic_Score]]*60%+StudentData[[#This Row],[Engagement_Score]]*30%+MIN(StudentData[[#This Row],[Study_Hours_per_Week]],20)/20*100*10%</f>
        <v>72.707999999999998</v>
      </c>
      <c r="N552" s="3" t="str" cm="1">
        <f t="array" ref="N552">_xlfn.IFS(StudentData[[#This Row],[Success_Score]]&gt;=85,"Exceptional",StudentData[[#This Row],[Success_Score]]&gt;=70,"Strong",StudentData[[#This Row],[Success_Score]]&gt;=55,"Developing",TRUE,"Needs Improvement")</f>
        <v>Strong</v>
      </c>
      <c r="O552" s="3" t="str">
        <f t="shared" si="16"/>
        <v>Low Risk</v>
      </c>
      <c r="P552" s="3" t="str">
        <f t="shared" si="17"/>
        <v>18-20</v>
      </c>
    </row>
    <row r="553" spans="1:16">
      <c r="A553" t="s">
        <v>587</v>
      </c>
      <c r="B553">
        <v>21</v>
      </c>
      <c r="C553" t="s">
        <v>4</v>
      </c>
      <c r="D553">
        <v>74.23</v>
      </c>
      <c r="E553">
        <v>8</v>
      </c>
      <c r="F553">
        <v>4.4000000000000004</v>
      </c>
      <c r="G553">
        <v>77.319999999999993</v>
      </c>
      <c r="H553">
        <v>81.709999999999994</v>
      </c>
      <c r="I553">
        <v>17</v>
      </c>
      <c r="J553">
        <v>2</v>
      </c>
      <c r="K553">
        <f>(StudentData[[#This Row],[Midterm_Grade]]*40%)+(StudentData[[#This Row],[Final_Grade]]*60%)</f>
        <v>79.953999999999994</v>
      </c>
      <c r="L553">
        <f>StudentData[[#This Row],[Attendance_Percentage]]*40%+StudentData[[#This Row],[Assignments_Completed]]*2+StudentData[[#This Row],[Class_Participation]]*2+StudentData[[#This Row],[Projects_Submitted]]*4</f>
        <v>62.492000000000004</v>
      </c>
      <c r="M553">
        <f>StudentData[[#This Row],[Academic_Score]]*60%+StudentData[[#This Row],[Engagement_Score]]*30%+MIN(StudentData[[#This Row],[Study_Hours_per_Week]],20)/20*100*10%</f>
        <v>75.22</v>
      </c>
      <c r="N553" s="3" t="str" cm="1">
        <f t="array" ref="N553">_xlfn.IFS(StudentData[[#This Row],[Success_Score]]&gt;=85,"Exceptional",StudentData[[#This Row],[Success_Score]]&gt;=70,"Strong",StudentData[[#This Row],[Success_Score]]&gt;=55,"Developing",TRUE,"Needs Improvement")</f>
        <v>Strong</v>
      </c>
      <c r="O553" s="3" t="str">
        <f t="shared" si="16"/>
        <v>Low Risk</v>
      </c>
      <c r="P553" s="3" t="str">
        <f t="shared" si="17"/>
        <v>21-23</v>
      </c>
    </row>
    <row r="554" spans="1:16">
      <c r="A554" t="s">
        <v>588</v>
      </c>
      <c r="B554">
        <v>22</v>
      </c>
      <c r="C554" t="s">
        <v>6</v>
      </c>
      <c r="D554">
        <v>58.29</v>
      </c>
      <c r="E554">
        <v>0</v>
      </c>
      <c r="F554">
        <v>7.3</v>
      </c>
      <c r="G554">
        <v>67.16</v>
      </c>
      <c r="H554">
        <v>44.83</v>
      </c>
      <c r="I554">
        <v>8</v>
      </c>
      <c r="J554">
        <v>2</v>
      </c>
      <c r="K554">
        <f>(StudentData[[#This Row],[Midterm_Grade]]*40%)+(StudentData[[#This Row],[Final_Grade]]*60%)</f>
        <v>53.762</v>
      </c>
      <c r="L554">
        <f>StudentData[[#This Row],[Attendance_Percentage]]*40%+StudentData[[#This Row],[Assignments_Completed]]*2+StudentData[[#This Row],[Class_Participation]]*2+StudentData[[#This Row],[Projects_Submitted]]*4</f>
        <v>45.916000000000004</v>
      </c>
      <c r="M554">
        <f>StudentData[[#This Row],[Academic_Score]]*60%+StudentData[[#This Row],[Engagement_Score]]*30%+MIN(StudentData[[#This Row],[Study_Hours_per_Week]],20)/20*100*10%</f>
        <v>50.031999999999996</v>
      </c>
      <c r="N554" s="3" t="str" cm="1">
        <f t="array" ref="N55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54" s="3" t="str">
        <f t="shared" si="16"/>
        <v>Medium Risk</v>
      </c>
      <c r="P554" s="3" t="str">
        <f t="shared" si="17"/>
        <v>21-23</v>
      </c>
    </row>
    <row r="555" spans="1:16">
      <c r="A555" t="s">
        <v>589</v>
      </c>
      <c r="B555">
        <v>21</v>
      </c>
      <c r="C555" t="s">
        <v>4</v>
      </c>
      <c r="D555">
        <v>97.28</v>
      </c>
      <c r="E555">
        <v>6</v>
      </c>
      <c r="F555">
        <v>9.4</v>
      </c>
      <c r="G555">
        <v>3.17</v>
      </c>
      <c r="H555">
        <v>48.92</v>
      </c>
      <c r="I555">
        <v>8</v>
      </c>
      <c r="J555">
        <v>2</v>
      </c>
      <c r="K555">
        <f>(StudentData[[#This Row],[Midterm_Grade]]*40%)+(StudentData[[#This Row],[Final_Grade]]*60%)</f>
        <v>30.62</v>
      </c>
      <c r="L555">
        <f>StudentData[[#This Row],[Attendance_Percentage]]*40%+StudentData[[#This Row],[Assignments_Completed]]*2+StudentData[[#This Row],[Class_Participation]]*2+StudentData[[#This Row],[Projects_Submitted]]*4</f>
        <v>77.712000000000003</v>
      </c>
      <c r="M555">
        <f>StudentData[[#This Row],[Academic_Score]]*60%+StudentData[[#This Row],[Engagement_Score]]*30%+MIN(StudentData[[#This Row],[Study_Hours_per_Week]],20)/20*100*10%</f>
        <v>45.685600000000001</v>
      </c>
      <c r="N555" s="3" t="str" cm="1">
        <f t="array" ref="N55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55" s="3" t="str">
        <f t="shared" si="16"/>
        <v>Medium Risk</v>
      </c>
      <c r="P555" s="3" t="str">
        <f t="shared" si="17"/>
        <v>21-23</v>
      </c>
    </row>
    <row r="556" spans="1:16">
      <c r="A556" t="s">
        <v>590</v>
      </c>
      <c r="B556">
        <v>18</v>
      </c>
      <c r="C556" t="s">
        <v>6</v>
      </c>
      <c r="D556">
        <v>92.5</v>
      </c>
      <c r="E556">
        <v>4</v>
      </c>
      <c r="F556">
        <v>6.04</v>
      </c>
      <c r="G556">
        <v>53.5</v>
      </c>
      <c r="H556">
        <v>21.77</v>
      </c>
      <c r="I556">
        <v>8</v>
      </c>
      <c r="J556">
        <v>4</v>
      </c>
      <c r="K556">
        <f>(StudentData[[#This Row],[Midterm_Grade]]*40%)+(StudentData[[#This Row],[Final_Grade]]*60%)</f>
        <v>34.462000000000003</v>
      </c>
      <c r="L556">
        <f>StudentData[[#This Row],[Attendance_Percentage]]*40%+StudentData[[#This Row],[Assignments_Completed]]*2+StudentData[[#This Row],[Class_Participation]]*2+StudentData[[#This Row],[Projects_Submitted]]*4</f>
        <v>73.08</v>
      </c>
      <c r="M556">
        <f>StudentData[[#This Row],[Academic_Score]]*60%+StudentData[[#This Row],[Engagement_Score]]*30%+MIN(StudentData[[#This Row],[Study_Hours_per_Week]],20)/20*100*10%</f>
        <v>46.601200000000006</v>
      </c>
      <c r="N556" s="3" t="str" cm="1">
        <f t="array" ref="N55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56" s="3" t="str">
        <f t="shared" si="16"/>
        <v>Medium Risk</v>
      </c>
      <c r="P556" s="3" t="str">
        <f t="shared" si="17"/>
        <v>18-20</v>
      </c>
    </row>
    <row r="557" spans="1:16">
      <c r="A557" t="s">
        <v>591</v>
      </c>
      <c r="B557">
        <v>25</v>
      </c>
      <c r="C557" t="s">
        <v>5</v>
      </c>
      <c r="D557">
        <v>83.45</v>
      </c>
      <c r="E557">
        <v>7</v>
      </c>
      <c r="F557">
        <v>8.6300000000000008</v>
      </c>
      <c r="G557">
        <v>3.77</v>
      </c>
      <c r="H557">
        <v>7.83</v>
      </c>
      <c r="I557">
        <v>9</v>
      </c>
      <c r="J557">
        <v>5</v>
      </c>
      <c r="K557">
        <f>(StudentData[[#This Row],[Midterm_Grade]]*40%)+(StudentData[[#This Row],[Final_Grade]]*60%)</f>
        <v>6.2059999999999995</v>
      </c>
      <c r="L557">
        <f>StudentData[[#This Row],[Attendance_Percentage]]*40%+StudentData[[#This Row],[Assignments_Completed]]*2+StudentData[[#This Row],[Class_Participation]]*2+StudentData[[#This Row],[Projects_Submitted]]*4</f>
        <v>84.64</v>
      </c>
      <c r="M557">
        <f>StudentData[[#This Row],[Academic_Score]]*60%+StudentData[[#This Row],[Engagement_Score]]*30%+MIN(StudentData[[#This Row],[Study_Hours_per_Week]],20)/20*100*10%</f>
        <v>33.615600000000001</v>
      </c>
      <c r="N557" s="3" t="str" cm="1">
        <f t="array" ref="N55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57" s="3" t="str">
        <f t="shared" si="16"/>
        <v>Medium Risk</v>
      </c>
      <c r="P557" s="3" t="str">
        <f t="shared" si="17"/>
        <v>24-25</v>
      </c>
    </row>
    <row r="558" spans="1:16">
      <c r="A558" t="s">
        <v>592</v>
      </c>
      <c r="B558">
        <v>25</v>
      </c>
      <c r="C558" t="s">
        <v>4</v>
      </c>
      <c r="D558">
        <v>73.11</v>
      </c>
      <c r="E558">
        <v>3</v>
      </c>
      <c r="F558">
        <v>8.2200000000000006</v>
      </c>
      <c r="G558">
        <v>80.81</v>
      </c>
      <c r="H558">
        <v>57.34</v>
      </c>
      <c r="I558">
        <v>1</v>
      </c>
      <c r="J558">
        <v>0</v>
      </c>
      <c r="K558">
        <f>(StudentData[[#This Row],[Midterm_Grade]]*40%)+(StudentData[[#This Row],[Final_Grade]]*60%)</f>
        <v>66.728000000000009</v>
      </c>
      <c r="L558">
        <f>StudentData[[#This Row],[Attendance_Percentage]]*40%+StudentData[[#This Row],[Assignments_Completed]]*2+StudentData[[#This Row],[Class_Participation]]*2+StudentData[[#This Row],[Projects_Submitted]]*4</f>
        <v>51.683999999999997</v>
      </c>
      <c r="M558">
        <f>StudentData[[#This Row],[Academic_Score]]*60%+StudentData[[#This Row],[Engagement_Score]]*30%+MIN(StudentData[[#This Row],[Study_Hours_per_Week]],20)/20*100*10%</f>
        <v>56.042000000000002</v>
      </c>
      <c r="N558" s="3" t="str" cm="1">
        <f t="array" ref="N558">_xlfn.IFS(StudentData[[#This Row],[Success_Score]]&gt;=85,"Exceptional",StudentData[[#This Row],[Success_Score]]&gt;=70,"Strong",StudentData[[#This Row],[Success_Score]]&gt;=55,"Developing",TRUE,"Needs Improvement")</f>
        <v>Developing</v>
      </c>
      <c r="O558" s="3" t="str">
        <f t="shared" si="16"/>
        <v>Low Risk</v>
      </c>
      <c r="P558" s="3" t="str">
        <f t="shared" si="17"/>
        <v>24-25</v>
      </c>
    </row>
    <row r="559" spans="1:16">
      <c r="A559" t="s">
        <v>593</v>
      </c>
      <c r="B559">
        <v>23</v>
      </c>
      <c r="C559" t="s">
        <v>5</v>
      </c>
      <c r="D559">
        <v>70.59</v>
      </c>
      <c r="E559">
        <v>6</v>
      </c>
      <c r="F559">
        <v>1.73</v>
      </c>
      <c r="G559">
        <v>32.07</v>
      </c>
      <c r="H559">
        <v>9.83</v>
      </c>
      <c r="I559">
        <v>5</v>
      </c>
      <c r="J559">
        <v>2</v>
      </c>
      <c r="K559">
        <f>(StudentData[[#This Row],[Midterm_Grade]]*40%)+(StudentData[[#This Row],[Final_Grade]]*60%)</f>
        <v>18.725999999999999</v>
      </c>
      <c r="L559">
        <f>StudentData[[#This Row],[Attendance_Percentage]]*40%+StudentData[[#This Row],[Assignments_Completed]]*2+StudentData[[#This Row],[Class_Participation]]*2+StudentData[[#This Row],[Projects_Submitted]]*4</f>
        <v>51.696000000000005</v>
      </c>
      <c r="M559">
        <f>StudentData[[#This Row],[Academic_Score]]*60%+StudentData[[#This Row],[Engagement_Score]]*30%+MIN(StudentData[[#This Row],[Study_Hours_per_Week]],20)/20*100*10%</f>
        <v>29.244399999999999</v>
      </c>
      <c r="N559" s="3" t="str" cm="1">
        <f t="array" ref="N55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59" s="3" t="str">
        <f t="shared" si="16"/>
        <v>Medium Risk</v>
      </c>
      <c r="P559" s="3" t="str">
        <f t="shared" si="17"/>
        <v>21-23</v>
      </c>
    </row>
    <row r="560" spans="1:16">
      <c r="A560" t="s">
        <v>594</v>
      </c>
      <c r="B560">
        <v>25</v>
      </c>
      <c r="C560" t="s">
        <v>4</v>
      </c>
      <c r="D560">
        <v>82.55</v>
      </c>
      <c r="E560">
        <v>4</v>
      </c>
      <c r="F560">
        <v>4.8600000000000003</v>
      </c>
      <c r="G560">
        <v>56.24</v>
      </c>
      <c r="H560">
        <v>44.93</v>
      </c>
      <c r="I560">
        <v>14</v>
      </c>
      <c r="J560">
        <v>3</v>
      </c>
      <c r="K560">
        <f>(StudentData[[#This Row],[Midterm_Grade]]*40%)+(StudentData[[#This Row],[Final_Grade]]*60%)</f>
        <v>49.454000000000001</v>
      </c>
      <c r="L560">
        <f>StudentData[[#This Row],[Attendance_Percentage]]*40%+StudentData[[#This Row],[Assignments_Completed]]*2+StudentData[[#This Row],[Class_Participation]]*2+StudentData[[#This Row],[Projects_Submitted]]*4</f>
        <v>62.74</v>
      </c>
      <c r="M560">
        <f>StudentData[[#This Row],[Academic_Score]]*60%+StudentData[[#This Row],[Engagement_Score]]*30%+MIN(StudentData[[#This Row],[Study_Hours_per_Week]],20)/20*100*10%</f>
        <v>55.494399999999999</v>
      </c>
      <c r="N560" s="3" t="str" cm="1">
        <f t="array" ref="N560">_xlfn.IFS(StudentData[[#This Row],[Success_Score]]&gt;=85,"Exceptional",StudentData[[#This Row],[Success_Score]]&gt;=70,"Strong",StudentData[[#This Row],[Success_Score]]&gt;=55,"Developing",TRUE,"Needs Improvement")</f>
        <v>Developing</v>
      </c>
      <c r="O560" s="3" t="str">
        <f t="shared" si="16"/>
        <v>Medium Risk</v>
      </c>
      <c r="P560" s="3" t="str">
        <f t="shared" si="17"/>
        <v>24-25</v>
      </c>
    </row>
    <row r="561" spans="1:16">
      <c r="A561" t="s">
        <v>595</v>
      </c>
      <c r="B561">
        <v>23</v>
      </c>
      <c r="C561" t="s">
        <v>4</v>
      </c>
      <c r="D561">
        <v>77.27</v>
      </c>
      <c r="E561">
        <v>4</v>
      </c>
      <c r="F561">
        <v>1.17</v>
      </c>
      <c r="G561">
        <v>27.94</v>
      </c>
      <c r="H561">
        <v>94.05</v>
      </c>
      <c r="I561">
        <v>2</v>
      </c>
      <c r="J561">
        <v>4</v>
      </c>
      <c r="K561">
        <f>(StudentData[[#This Row],[Midterm_Grade]]*40%)+(StudentData[[#This Row],[Final_Grade]]*60%)</f>
        <v>67.605999999999995</v>
      </c>
      <c r="L561">
        <f>StudentData[[#This Row],[Attendance_Percentage]]*40%+StudentData[[#This Row],[Assignments_Completed]]*2+StudentData[[#This Row],[Class_Participation]]*2+StudentData[[#This Row],[Projects_Submitted]]*4</f>
        <v>57.248000000000005</v>
      </c>
      <c r="M561">
        <f>StudentData[[#This Row],[Academic_Score]]*60%+StudentData[[#This Row],[Engagement_Score]]*30%+MIN(StudentData[[#This Row],[Study_Hours_per_Week]],20)/20*100*10%</f>
        <v>58.738</v>
      </c>
      <c r="N561" s="3" t="str" cm="1">
        <f t="array" ref="N561">_xlfn.IFS(StudentData[[#This Row],[Success_Score]]&gt;=85,"Exceptional",StudentData[[#This Row],[Success_Score]]&gt;=70,"Strong",StudentData[[#This Row],[Success_Score]]&gt;=55,"Developing",TRUE,"Needs Improvement")</f>
        <v>Developing</v>
      </c>
      <c r="O561" s="3" t="str">
        <f t="shared" si="16"/>
        <v>Low Risk</v>
      </c>
      <c r="P561" s="3" t="str">
        <f t="shared" si="17"/>
        <v>21-23</v>
      </c>
    </row>
    <row r="562" spans="1:16">
      <c r="A562" t="s">
        <v>596</v>
      </c>
      <c r="B562">
        <v>21</v>
      </c>
      <c r="C562" t="s">
        <v>4</v>
      </c>
      <c r="D562">
        <v>53.11</v>
      </c>
      <c r="E562">
        <v>8</v>
      </c>
      <c r="F562">
        <v>6.82</v>
      </c>
      <c r="G562">
        <v>78.25</v>
      </c>
      <c r="H562">
        <v>95.28</v>
      </c>
      <c r="I562">
        <v>10</v>
      </c>
      <c r="J562">
        <v>1</v>
      </c>
      <c r="K562">
        <f>(StudentData[[#This Row],[Midterm_Grade]]*40%)+(StudentData[[#This Row],[Final_Grade]]*60%)</f>
        <v>88.468000000000004</v>
      </c>
      <c r="L562">
        <f>StudentData[[#This Row],[Attendance_Percentage]]*40%+StudentData[[#This Row],[Assignments_Completed]]*2+StudentData[[#This Row],[Class_Participation]]*2+StudentData[[#This Row],[Projects_Submitted]]*4</f>
        <v>54.884</v>
      </c>
      <c r="M562">
        <f>StudentData[[#This Row],[Academic_Score]]*60%+StudentData[[#This Row],[Engagement_Score]]*30%+MIN(StudentData[[#This Row],[Study_Hours_per_Week]],20)/20*100*10%</f>
        <v>74.546000000000006</v>
      </c>
      <c r="N562" s="3" t="str" cm="1">
        <f t="array" ref="N562">_xlfn.IFS(StudentData[[#This Row],[Success_Score]]&gt;=85,"Exceptional",StudentData[[#This Row],[Success_Score]]&gt;=70,"Strong",StudentData[[#This Row],[Success_Score]]&gt;=55,"Developing",TRUE,"Needs Improvement")</f>
        <v>Strong</v>
      </c>
      <c r="O562" s="3" t="str">
        <f t="shared" si="16"/>
        <v>Medium Risk</v>
      </c>
      <c r="P562" s="3" t="str">
        <f t="shared" si="17"/>
        <v>21-23</v>
      </c>
    </row>
    <row r="563" spans="1:16">
      <c r="A563" t="s">
        <v>597</v>
      </c>
      <c r="B563">
        <v>20</v>
      </c>
      <c r="C563" t="s">
        <v>6</v>
      </c>
      <c r="D563">
        <v>75.63</v>
      </c>
      <c r="E563">
        <v>8</v>
      </c>
      <c r="F563">
        <v>9.5</v>
      </c>
      <c r="G563">
        <v>88.65</v>
      </c>
      <c r="H563">
        <v>23.93</v>
      </c>
      <c r="I563">
        <v>5</v>
      </c>
      <c r="J563">
        <v>0</v>
      </c>
      <c r="K563">
        <f>(StudentData[[#This Row],[Midterm_Grade]]*40%)+(StudentData[[#This Row],[Final_Grade]]*60%)</f>
        <v>49.817999999999998</v>
      </c>
      <c r="L563">
        <f>StudentData[[#This Row],[Attendance_Percentage]]*40%+StudentData[[#This Row],[Assignments_Completed]]*2+StudentData[[#This Row],[Class_Participation]]*2+StudentData[[#This Row],[Projects_Submitted]]*4</f>
        <v>65.251999999999995</v>
      </c>
      <c r="M563">
        <f>StudentData[[#This Row],[Academic_Score]]*60%+StudentData[[#This Row],[Engagement_Score]]*30%+MIN(StudentData[[#This Row],[Study_Hours_per_Week]],20)/20*100*10%</f>
        <v>51.966399999999993</v>
      </c>
      <c r="N563" s="3" t="str" cm="1">
        <f t="array" ref="N56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63" s="3" t="str">
        <f t="shared" si="16"/>
        <v>Medium Risk</v>
      </c>
      <c r="P563" s="3" t="str">
        <f t="shared" si="17"/>
        <v>18-20</v>
      </c>
    </row>
    <row r="564" spans="1:16">
      <c r="A564" t="s">
        <v>598</v>
      </c>
      <c r="B564">
        <v>24</v>
      </c>
      <c r="C564" t="s">
        <v>4</v>
      </c>
      <c r="D564">
        <v>90.32</v>
      </c>
      <c r="E564">
        <v>8</v>
      </c>
      <c r="F564">
        <v>1.37</v>
      </c>
      <c r="G564">
        <v>39.86</v>
      </c>
      <c r="H564">
        <v>62.41</v>
      </c>
      <c r="I564">
        <v>2</v>
      </c>
      <c r="J564">
        <v>3</v>
      </c>
      <c r="K564">
        <f>(StudentData[[#This Row],[Midterm_Grade]]*40%)+(StudentData[[#This Row],[Final_Grade]]*60%)</f>
        <v>53.39</v>
      </c>
      <c r="L564">
        <f>StudentData[[#This Row],[Attendance_Percentage]]*40%+StudentData[[#This Row],[Assignments_Completed]]*2+StudentData[[#This Row],[Class_Participation]]*2+StudentData[[#This Row],[Projects_Submitted]]*4</f>
        <v>66.867999999999995</v>
      </c>
      <c r="M564">
        <f>StudentData[[#This Row],[Academic_Score]]*60%+StudentData[[#This Row],[Engagement_Score]]*30%+MIN(StudentData[[#This Row],[Study_Hours_per_Week]],20)/20*100*10%</f>
        <v>53.094399999999993</v>
      </c>
      <c r="N564" s="3" t="str" cm="1">
        <f t="array" ref="N56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64" s="3" t="str">
        <f t="shared" si="16"/>
        <v>Medium Risk</v>
      </c>
      <c r="P564" s="3" t="str">
        <f t="shared" si="17"/>
        <v>24-25</v>
      </c>
    </row>
    <row r="565" spans="1:16">
      <c r="A565" t="s">
        <v>599</v>
      </c>
      <c r="B565">
        <v>24</v>
      </c>
      <c r="C565" t="s">
        <v>5</v>
      </c>
      <c r="D565">
        <v>72.959999999999994</v>
      </c>
      <c r="E565">
        <v>5</v>
      </c>
      <c r="F565">
        <v>7.34</v>
      </c>
      <c r="G565">
        <v>86.29</v>
      </c>
      <c r="H565">
        <v>47.41</v>
      </c>
      <c r="I565">
        <v>10</v>
      </c>
      <c r="J565">
        <v>2</v>
      </c>
      <c r="K565">
        <f>(StudentData[[#This Row],[Midterm_Grade]]*40%)+(StudentData[[#This Row],[Final_Grade]]*60%)</f>
        <v>62.962000000000003</v>
      </c>
      <c r="L565">
        <f>StudentData[[#This Row],[Attendance_Percentage]]*40%+StudentData[[#This Row],[Assignments_Completed]]*2+StudentData[[#This Row],[Class_Participation]]*2+StudentData[[#This Row],[Projects_Submitted]]*4</f>
        <v>61.863999999999997</v>
      </c>
      <c r="M565">
        <f>StudentData[[#This Row],[Academic_Score]]*60%+StudentData[[#This Row],[Engagement_Score]]*30%+MIN(StudentData[[#This Row],[Study_Hours_per_Week]],20)/20*100*10%</f>
        <v>61.336399999999998</v>
      </c>
      <c r="N565" s="3" t="str" cm="1">
        <f t="array" ref="N565">_xlfn.IFS(StudentData[[#This Row],[Success_Score]]&gt;=85,"Exceptional",StudentData[[#This Row],[Success_Score]]&gt;=70,"Strong",StudentData[[#This Row],[Success_Score]]&gt;=55,"Developing",TRUE,"Needs Improvement")</f>
        <v>Developing</v>
      </c>
      <c r="O565" s="3" t="str">
        <f t="shared" si="16"/>
        <v>Low Risk</v>
      </c>
      <c r="P565" s="3" t="str">
        <f t="shared" si="17"/>
        <v>24-25</v>
      </c>
    </row>
    <row r="566" spans="1:16">
      <c r="A566" t="s">
        <v>600</v>
      </c>
      <c r="B566">
        <v>21</v>
      </c>
      <c r="C566" t="s">
        <v>5</v>
      </c>
      <c r="D566">
        <v>52.6</v>
      </c>
      <c r="E566">
        <v>5</v>
      </c>
      <c r="F566">
        <v>6.32</v>
      </c>
      <c r="G566">
        <v>26.71</v>
      </c>
      <c r="H566">
        <v>87.57</v>
      </c>
      <c r="I566">
        <v>14</v>
      </c>
      <c r="J566">
        <v>1</v>
      </c>
      <c r="K566">
        <f>(StudentData[[#This Row],[Midterm_Grade]]*40%)+(StudentData[[#This Row],[Final_Grade]]*60%)</f>
        <v>63.225999999999999</v>
      </c>
      <c r="L566">
        <f>StudentData[[#This Row],[Attendance_Percentage]]*40%+StudentData[[#This Row],[Assignments_Completed]]*2+StudentData[[#This Row],[Class_Participation]]*2+StudentData[[#This Row],[Projects_Submitted]]*4</f>
        <v>47.680000000000007</v>
      </c>
      <c r="M566">
        <f>StudentData[[#This Row],[Academic_Score]]*60%+StudentData[[#This Row],[Engagement_Score]]*30%+MIN(StudentData[[#This Row],[Study_Hours_per_Week]],20)/20*100*10%</f>
        <v>59.239600000000003</v>
      </c>
      <c r="N566" s="3" t="str" cm="1">
        <f t="array" ref="N566">_xlfn.IFS(StudentData[[#This Row],[Success_Score]]&gt;=85,"Exceptional",StudentData[[#This Row],[Success_Score]]&gt;=70,"Strong",StudentData[[#This Row],[Success_Score]]&gt;=55,"Developing",TRUE,"Needs Improvement")</f>
        <v>Developing</v>
      </c>
      <c r="O566" s="3" t="str">
        <f t="shared" si="16"/>
        <v>Medium Risk</v>
      </c>
      <c r="P566" s="3" t="str">
        <f t="shared" si="17"/>
        <v>21-23</v>
      </c>
    </row>
    <row r="567" spans="1:16">
      <c r="A567" t="s">
        <v>601</v>
      </c>
      <c r="B567">
        <v>19</v>
      </c>
      <c r="C567" t="s">
        <v>4</v>
      </c>
      <c r="D567">
        <v>89.31</v>
      </c>
      <c r="E567">
        <v>4</v>
      </c>
      <c r="F567">
        <v>5.84</v>
      </c>
      <c r="G567">
        <v>53.47</v>
      </c>
      <c r="H567">
        <v>27.14</v>
      </c>
      <c r="I567">
        <v>12</v>
      </c>
      <c r="J567">
        <v>0</v>
      </c>
      <c r="K567">
        <f>(StudentData[[#This Row],[Midterm_Grade]]*40%)+(StudentData[[#This Row],[Final_Grade]]*60%)</f>
        <v>37.671999999999997</v>
      </c>
      <c r="L567">
        <f>StudentData[[#This Row],[Attendance_Percentage]]*40%+StudentData[[#This Row],[Assignments_Completed]]*2+StudentData[[#This Row],[Class_Participation]]*2+StudentData[[#This Row],[Projects_Submitted]]*4</f>
        <v>55.404000000000003</v>
      </c>
      <c r="M567">
        <f>StudentData[[#This Row],[Academic_Score]]*60%+StudentData[[#This Row],[Engagement_Score]]*30%+MIN(StudentData[[#This Row],[Study_Hours_per_Week]],20)/20*100*10%</f>
        <v>45.224400000000003</v>
      </c>
      <c r="N567" s="3" t="str" cm="1">
        <f t="array" ref="N56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67" s="3" t="str">
        <f t="shared" si="16"/>
        <v>Medium Risk</v>
      </c>
      <c r="P567" s="3" t="str">
        <f t="shared" si="17"/>
        <v>18-20</v>
      </c>
    </row>
    <row r="568" spans="1:16">
      <c r="A568" t="s">
        <v>602</v>
      </c>
      <c r="B568">
        <v>19</v>
      </c>
      <c r="C568" t="s">
        <v>5</v>
      </c>
      <c r="D568">
        <v>60.07</v>
      </c>
      <c r="E568">
        <v>8</v>
      </c>
      <c r="F568">
        <v>3.9</v>
      </c>
      <c r="G568">
        <v>85.88</v>
      </c>
      <c r="H568">
        <v>0.37</v>
      </c>
      <c r="I568">
        <v>19</v>
      </c>
      <c r="J568">
        <v>4</v>
      </c>
      <c r="K568">
        <f>(StudentData[[#This Row],[Midterm_Grade]]*40%)+(StudentData[[#This Row],[Final_Grade]]*60%)</f>
        <v>34.573999999999998</v>
      </c>
      <c r="L568">
        <f>StudentData[[#This Row],[Attendance_Percentage]]*40%+StudentData[[#This Row],[Assignments_Completed]]*2+StudentData[[#This Row],[Class_Participation]]*2+StudentData[[#This Row],[Projects_Submitted]]*4</f>
        <v>63.828000000000003</v>
      </c>
      <c r="M568">
        <f>StudentData[[#This Row],[Academic_Score]]*60%+StudentData[[#This Row],[Engagement_Score]]*30%+MIN(StudentData[[#This Row],[Study_Hours_per_Week]],20)/20*100*10%</f>
        <v>49.392799999999994</v>
      </c>
      <c r="N568" s="3" t="str" cm="1">
        <f t="array" ref="N56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68" s="3" t="str">
        <f t="shared" si="16"/>
        <v>Medium Risk</v>
      </c>
      <c r="P568" s="3" t="str">
        <f t="shared" si="17"/>
        <v>18-20</v>
      </c>
    </row>
    <row r="569" spans="1:16">
      <c r="A569" t="s">
        <v>603</v>
      </c>
      <c r="B569">
        <v>25</v>
      </c>
      <c r="C569" t="s">
        <v>5</v>
      </c>
      <c r="D569">
        <v>62.93</v>
      </c>
      <c r="E569">
        <v>9</v>
      </c>
      <c r="F569">
        <v>3.55</v>
      </c>
      <c r="G569">
        <v>32.590000000000003</v>
      </c>
      <c r="H569">
        <v>16.260000000000002</v>
      </c>
      <c r="I569">
        <v>9</v>
      </c>
      <c r="J569">
        <v>1</v>
      </c>
      <c r="K569">
        <f>(StudentData[[#This Row],[Midterm_Grade]]*40%)+(StudentData[[#This Row],[Final_Grade]]*60%)</f>
        <v>22.792000000000002</v>
      </c>
      <c r="L569">
        <f>StudentData[[#This Row],[Attendance_Percentage]]*40%+StudentData[[#This Row],[Assignments_Completed]]*2+StudentData[[#This Row],[Class_Participation]]*2+StudentData[[#This Row],[Projects_Submitted]]*4</f>
        <v>54.271999999999998</v>
      </c>
      <c r="M569">
        <f>StudentData[[#This Row],[Academic_Score]]*60%+StudentData[[#This Row],[Engagement_Score]]*30%+MIN(StudentData[[#This Row],[Study_Hours_per_Week]],20)/20*100*10%</f>
        <v>34.456800000000001</v>
      </c>
      <c r="N569" s="3" t="str" cm="1">
        <f t="array" ref="N56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69" s="3" t="str">
        <f t="shared" si="16"/>
        <v>Medium Risk</v>
      </c>
      <c r="P569" s="3" t="str">
        <f t="shared" si="17"/>
        <v>24-25</v>
      </c>
    </row>
    <row r="570" spans="1:16">
      <c r="A570" t="s">
        <v>604</v>
      </c>
      <c r="B570">
        <v>24</v>
      </c>
      <c r="C570" t="s">
        <v>5</v>
      </c>
      <c r="D570">
        <v>58.24</v>
      </c>
      <c r="E570">
        <v>7</v>
      </c>
      <c r="F570">
        <v>0.45</v>
      </c>
      <c r="G570">
        <v>95.4</v>
      </c>
      <c r="H570">
        <v>34.950000000000003</v>
      </c>
      <c r="I570">
        <v>5</v>
      </c>
      <c r="J570">
        <v>5</v>
      </c>
      <c r="K570">
        <f>(StudentData[[#This Row],[Midterm_Grade]]*40%)+(StudentData[[#This Row],[Final_Grade]]*60%)</f>
        <v>59.13000000000001</v>
      </c>
      <c r="L570">
        <f>StudentData[[#This Row],[Attendance_Percentage]]*40%+StudentData[[#This Row],[Assignments_Completed]]*2+StudentData[[#This Row],[Class_Participation]]*2+StudentData[[#This Row],[Projects_Submitted]]*4</f>
        <v>58.196000000000005</v>
      </c>
      <c r="M570">
        <f>StudentData[[#This Row],[Academic_Score]]*60%+StudentData[[#This Row],[Engagement_Score]]*30%+MIN(StudentData[[#This Row],[Study_Hours_per_Week]],20)/20*100*10%</f>
        <v>55.436800000000005</v>
      </c>
      <c r="N570" s="3" t="str" cm="1">
        <f t="array" ref="N570">_xlfn.IFS(StudentData[[#This Row],[Success_Score]]&gt;=85,"Exceptional",StudentData[[#This Row],[Success_Score]]&gt;=70,"Strong",StudentData[[#This Row],[Success_Score]]&gt;=55,"Developing",TRUE,"Needs Improvement")</f>
        <v>Developing</v>
      </c>
      <c r="O570" s="3" t="str">
        <f t="shared" si="16"/>
        <v>Medium Risk</v>
      </c>
      <c r="P570" s="3" t="str">
        <f t="shared" si="17"/>
        <v>24-25</v>
      </c>
    </row>
    <row r="571" spans="1:16">
      <c r="A571" t="s">
        <v>605</v>
      </c>
      <c r="B571">
        <v>24</v>
      </c>
      <c r="C571" t="s">
        <v>5</v>
      </c>
      <c r="D571">
        <v>66.510000000000005</v>
      </c>
      <c r="E571">
        <v>6</v>
      </c>
      <c r="F571">
        <v>2.1800000000000002</v>
      </c>
      <c r="G571">
        <v>12.19</v>
      </c>
      <c r="H571">
        <v>31.57</v>
      </c>
      <c r="I571">
        <v>14</v>
      </c>
      <c r="J571">
        <v>1</v>
      </c>
      <c r="K571">
        <f>(StudentData[[#This Row],[Midterm_Grade]]*40%)+(StudentData[[#This Row],[Final_Grade]]*60%)</f>
        <v>23.818000000000001</v>
      </c>
      <c r="L571">
        <f>StudentData[[#This Row],[Attendance_Percentage]]*40%+StudentData[[#This Row],[Assignments_Completed]]*2+StudentData[[#This Row],[Class_Participation]]*2+StudentData[[#This Row],[Projects_Submitted]]*4</f>
        <v>46.963999999999999</v>
      </c>
      <c r="M571">
        <f>StudentData[[#This Row],[Academic_Score]]*60%+StudentData[[#This Row],[Engagement_Score]]*30%+MIN(StudentData[[#This Row],[Study_Hours_per_Week]],20)/20*100*10%</f>
        <v>35.380000000000003</v>
      </c>
      <c r="N571" s="3" t="str" cm="1">
        <f t="array" ref="N57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71" s="3" t="str">
        <f t="shared" si="16"/>
        <v>Medium Risk</v>
      </c>
      <c r="P571" s="3" t="str">
        <f t="shared" si="17"/>
        <v>24-25</v>
      </c>
    </row>
    <row r="572" spans="1:16">
      <c r="A572" t="s">
        <v>606</v>
      </c>
      <c r="B572">
        <v>23</v>
      </c>
      <c r="C572" t="s">
        <v>5</v>
      </c>
      <c r="D572">
        <v>87.84</v>
      </c>
      <c r="E572">
        <v>6</v>
      </c>
      <c r="F572">
        <v>0.15</v>
      </c>
      <c r="G572">
        <v>1.83</v>
      </c>
      <c r="H572">
        <v>79.14</v>
      </c>
      <c r="I572">
        <v>17</v>
      </c>
      <c r="J572">
        <v>3</v>
      </c>
      <c r="K572">
        <f>(StudentData[[#This Row],[Midterm_Grade]]*40%)+(StudentData[[#This Row],[Final_Grade]]*60%)</f>
        <v>48.216000000000001</v>
      </c>
      <c r="L572">
        <f>StudentData[[#This Row],[Attendance_Percentage]]*40%+StudentData[[#This Row],[Assignments_Completed]]*2+StudentData[[#This Row],[Class_Participation]]*2+StudentData[[#This Row],[Projects_Submitted]]*4</f>
        <v>59.436</v>
      </c>
      <c r="M572">
        <f>StudentData[[#This Row],[Academic_Score]]*60%+StudentData[[#This Row],[Engagement_Score]]*30%+MIN(StudentData[[#This Row],[Study_Hours_per_Week]],20)/20*100*10%</f>
        <v>55.260400000000004</v>
      </c>
      <c r="N572" s="3" t="str" cm="1">
        <f t="array" ref="N572">_xlfn.IFS(StudentData[[#This Row],[Success_Score]]&gt;=85,"Exceptional",StudentData[[#This Row],[Success_Score]]&gt;=70,"Strong",StudentData[[#This Row],[Success_Score]]&gt;=55,"Developing",TRUE,"Needs Improvement")</f>
        <v>Developing</v>
      </c>
      <c r="O572" s="3" t="str">
        <f t="shared" si="16"/>
        <v>Medium Risk</v>
      </c>
      <c r="P572" s="3" t="str">
        <f t="shared" si="17"/>
        <v>21-23</v>
      </c>
    </row>
    <row r="573" spans="1:16">
      <c r="A573" t="s">
        <v>607</v>
      </c>
      <c r="B573">
        <v>20</v>
      </c>
      <c r="C573" t="s">
        <v>5</v>
      </c>
      <c r="D573">
        <v>75.97</v>
      </c>
      <c r="E573">
        <v>5</v>
      </c>
      <c r="F573">
        <v>5.81</v>
      </c>
      <c r="G573">
        <v>90.41</v>
      </c>
      <c r="H573">
        <v>68.06</v>
      </c>
      <c r="I573">
        <v>17</v>
      </c>
      <c r="J573">
        <v>0</v>
      </c>
      <c r="K573">
        <f>(StudentData[[#This Row],[Midterm_Grade]]*40%)+(StudentData[[#This Row],[Final_Grade]]*60%)</f>
        <v>77</v>
      </c>
      <c r="L573">
        <f>StudentData[[#This Row],[Attendance_Percentage]]*40%+StudentData[[#This Row],[Assignments_Completed]]*2+StudentData[[#This Row],[Class_Participation]]*2+StudentData[[#This Row],[Projects_Submitted]]*4</f>
        <v>52.008000000000003</v>
      </c>
      <c r="M573">
        <f>StudentData[[#This Row],[Academic_Score]]*60%+StudentData[[#This Row],[Engagement_Score]]*30%+MIN(StudentData[[#This Row],[Study_Hours_per_Week]],20)/20*100*10%</f>
        <v>70.302399999999992</v>
      </c>
      <c r="N573" s="3" t="str" cm="1">
        <f t="array" ref="N573">_xlfn.IFS(StudentData[[#This Row],[Success_Score]]&gt;=85,"Exceptional",StudentData[[#This Row],[Success_Score]]&gt;=70,"Strong",StudentData[[#This Row],[Success_Score]]&gt;=55,"Developing",TRUE,"Needs Improvement")</f>
        <v>Strong</v>
      </c>
      <c r="O573" s="3" t="str">
        <f t="shared" si="16"/>
        <v>Low Risk</v>
      </c>
      <c r="P573" s="3" t="str">
        <f t="shared" si="17"/>
        <v>18-20</v>
      </c>
    </row>
    <row r="574" spans="1:16">
      <c r="A574" t="s">
        <v>608</v>
      </c>
      <c r="B574">
        <v>18</v>
      </c>
      <c r="C574" t="s">
        <v>5</v>
      </c>
      <c r="D574">
        <v>60.24</v>
      </c>
      <c r="E574">
        <v>4</v>
      </c>
      <c r="F574">
        <v>1.06</v>
      </c>
      <c r="G574">
        <v>6.86</v>
      </c>
      <c r="H574">
        <v>29.96</v>
      </c>
      <c r="I574">
        <v>6</v>
      </c>
      <c r="J574">
        <v>3</v>
      </c>
      <c r="K574">
        <f>(StudentData[[#This Row],[Midterm_Grade]]*40%)+(StudentData[[#This Row],[Final_Grade]]*60%)</f>
        <v>20.72</v>
      </c>
      <c r="L574">
        <f>StudentData[[#This Row],[Attendance_Percentage]]*40%+StudentData[[#This Row],[Assignments_Completed]]*2+StudentData[[#This Row],[Class_Participation]]*2+StudentData[[#This Row],[Projects_Submitted]]*4</f>
        <v>46.216000000000001</v>
      </c>
      <c r="M574">
        <f>StudentData[[#This Row],[Academic_Score]]*60%+StudentData[[#This Row],[Engagement_Score]]*30%+MIN(StudentData[[#This Row],[Study_Hours_per_Week]],20)/20*100*10%</f>
        <v>29.296799999999998</v>
      </c>
      <c r="N574" s="3" t="str" cm="1">
        <f t="array" ref="N57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74" s="3" t="str">
        <f t="shared" si="16"/>
        <v>Medium Risk</v>
      </c>
      <c r="P574" s="3" t="str">
        <f t="shared" si="17"/>
        <v>18-20</v>
      </c>
    </row>
    <row r="575" spans="1:16">
      <c r="A575" t="s">
        <v>609</v>
      </c>
      <c r="B575">
        <v>19</v>
      </c>
      <c r="C575" t="s">
        <v>5</v>
      </c>
      <c r="D575">
        <v>93.89</v>
      </c>
      <c r="E575">
        <v>3</v>
      </c>
      <c r="F575">
        <v>8.73</v>
      </c>
      <c r="G575">
        <v>99.19</v>
      </c>
      <c r="H575">
        <v>45.77</v>
      </c>
      <c r="I575">
        <v>14</v>
      </c>
      <c r="J575">
        <v>3</v>
      </c>
      <c r="K575">
        <f>(StudentData[[#This Row],[Midterm_Grade]]*40%)+(StudentData[[#This Row],[Final_Grade]]*60%)</f>
        <v>67.138000000000005</v>
      </c>
      <c r="L575">
        <f>StudentData[[#This Row],[Attendance_Percentage]]*40%+StudentData[[#This Row],[Assignments_Completed]]*2+StudentData[[#This Row],[Class_Participation]]*2+StudentData[[#This Row],[Projects_Submitted]]*4</f>
        <v>73.016000000000005</v>
      </c>
      <c r="M575">
        <f>StudentData[[#This Row],[Academic_Score]]*60%+StudentData[[#This Row],[Engagement_Score]]*30%+MIN(StudentData[[#This Row],[Study_Hours_per_Week]],20)/20*100*10%</f>
        <v>69.187600000000003</v>
      </c>
      <c r="N575" s="3" t="str" cm="1">
        <f t="array" ref="N575">_xlfn.IFS(StudentData[[#This Row],[Success_Score]]&gt;=85,"Exceptional",StudentData[[#This Row],[Success_Score]]&gt;=70,"Strong",StudentData[[#This Row],[Success_Score]]&gt;=55,"Developing",TRUE,"Needs Improvement")</f>
        <v>Developing</v>
      </c>
      <c r="O575" s="3" t="str">
        <f t="shared" si="16"/>
        <v>Low Risk</v>
      </c>
      <c r="P575" s="3" t="str">
        <f t="shared" si="17"/>
        <v>18-20</v>
      </c>
    </row>
    <row r="576" spans="1:16">
      <c r="A576" t="s">
        <v>610</v>
      </c>
      <c r="B576">
        <v>24</v>
      </c>
      <c r="C576" t="s">
        <v>6</v>
      </c>
      <c r="D576">
        <v>93.98</v>
      </c>
      <c r="E576">
        <v>2</v>
      </c>
      <c r="F576">
        <v>5.23</v>
      </c>
      <c r="G576">
        <v>95.14</v>
      </c>
      <c r="H576">
        <v>9.56</v>
      </c>
      <c r="I576">
        <v>17</v>
      </c>
      <c r="J576">
        <v>2</v>
      </c>
      <c r="K576">
        <f>(StudentData[[#This Row],[Midterm_Grade]]*40%)+(StudentData[[#This Row],[Final_Grade]]*60%)</f>
        <v>43.792000000000002</v>
      </c>
      <c r="L576">
        <f>StudentData[[#This Row],[Attendance_Percentage]]*40%+StudentData[[#This Row],[Assignments_Completed]]*2+StudentData[[#This Row],[Class_Participation]]*2+StudentData[[#This Row],[Projects_Submitted]]*4</f>
        <v>60.052000000000007</v>
      </c>
      <c r="M576">
        <f>StudentData[[#This Row],[Academic_Score]]*60%+StudentData[[#This Row],[Engagement_Score]]*30%+MIN(StudentData[[#This Row],[Study_Hours_per_Week]],20)/20*100*10%</f>
        <v>52.790800000000004</v>
      </c>
      <c r="N576" s="3" t="str" cm="1">
        <f t="array" ref="N57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76" s="3" t="str">
        <f t="shared" si="16"/>
        <v>Medium Risk</v>
      </c>
      <c r="P576" s="3" t="str">
        <f t="shared" si="17"/>
        <v>24-25</v>
      </c>
    </row>
    <row r="577" spans="1:16">
      <c r="A577" t="s">
        <v>611</v>
      </c>
      <c r="B577">
        <v>23</v>
      </c>
      <c r="C577" t="s">
        <v>5</v>
      </c>
      <c r="D577">
        <v>93.53</v>
      </c>
      <c r="E577">
        <v>2</v>
      </c>
      <c r="F577">
        <v>7</v>
      </c>
      <c r="G577">
        <v>13.7</v>
      </c>
      <c r="H577">
        <v>89.81</v>
      </c>
      <c r="I577">
        <v>17</v>
      </c>
      <c r="J577">
        <v>4</v>
      </c>
      <c r="K577">
        <f>(StudentData[[#This Row],[Midterm_Grade]]*40%)+(StudentData[[#This Row],[Final_Grade]]*60%)</f>
        <v>59.366</v>
      </c>
      <c r="L577">
        <f>StudentData[[#This Row],[Attendance_Percentage]]*40%+StudentData[[#This Row],[Assignments_Completed]]*2+StudentData[[#This Row],[Class_Participation]]*2+StudentData[[#This Row],[Projects_Submitted]]*4</f>
        <v>71.412000000000006</v>
      </c>
      <c r="M577">
        <f>StudentData[[#This Row],[Academic_Score]]*60%+StudentData[[#This Row],[Engagement_Score]]*30%+MIN(StudentData[[#This Row],[Study_Hours_per_Week]],20)/20*100*10%</f>
        <v>65.543199999999999</v>
      </c>
      <c r="N577" s="3" t="str" cm="1">
        <f t="array" ref="N577">_xlfn.IFS(StudentData[[#This Row],[Success_Score]]&gt;=85,"Exceptional",StudentData[[#This Row],[Success_Score]]&gt;=70,"Strong",StudentData[[#This Row],[Success_Score]]&gt;=55,"Developing",TRUE,"Needs Improvement")</f>
        <v>Developing</v>
      </c>
      <c r="O577" s="3" t="str">
        <f t="shared" si="16"/>
        <v>Medium Risk</v>
      </c>
      <c r="P577" s="3" t="str">
        <f t="shared" si="17"/>
        <v>21-23</v>
      </c>
    </row>
    <row r="578" spans="1:16">
      <c r="A578" t="s">
        <v>612</v>
      </c>
      <c r="B578">
        <v>22</v>
      </c>
      <c r="C578" t="s">
        <v>5</v>
      </c>
      <c r="D578">
        <v>61.94</v>
      </c>
      <c r="E578">
        <v>5</v>
      </c>
      <c r="F578">
        <v>4.1100000000000003</v>
      </c>
      <c r="G578">
        <v>53.76</v>
      </c>
      <c r="H578">
        <v>93.54</v>
      </c>
      <c r="I578">
        <v>19</v>
      </c>
      <c r="J578">
        <v>1</v>
      </c>
      <c r="K578">
        <f>(StudentData[[#This Row],[Midterm_Grade]]*40%)+(StudentData[[#This Row],[Final_Grade]]*60%)</f>
        <v>77.628</v>
      </c>
      <c r="L578">
        <f>StudentData[[#This Row],[Attendance_Percentage]]*40%+StudentData[[#This Row],[Assignments_Completed]]*2+StudentData[[#This Row],[Class_Participation]]*2+StudentData[[#This Row],[Projects_Submitted]]*4</f>
        <v>46.995999999999995</v>
      </c>
      <c r="M578">
        <f>StudentData[[#This Row],[Academic_Score]]*60%+StudentData[[#This Row],[Engagement_Score]]*30%+MIN(StudentData[[#This Row],[Study_Hours_per_Week]],20)/20*100*10%</f>
        <v>70.175600000000003</v>
      </c>
      <c r="N578" s="3" t="str" cm="1">
        <f t="array" ref="N578">_xlfn.IFS(StudentData[[#This Row],[Success_Score]]&gt;=85,"Exceptional",StudentData[[#This Row],[Success_Score]]&gt;=70,"Strong",StudentData[[#This Row],[Success_Score]]&gt;=55,"Developing",TRUE,"Needs Improvement")</f>
        <v>Strong</v>
      </c>
      <c r="O578" s="3" t="str">
        <f t="shared" ref="O578:O641" si="18">IF(AND(D578&lt;60,K578&lt;50),"High Risk",IF(OR(D578&lt;70,K578&lt;60),"Medium Risk","Low Risk"))</f>
        <v>Medium Risk</v>
      </c>
      <c r="P578" s="3" t="str">
        <f t="shared" ref="P578:P641" si="19">IF(B578&lt;=20,"18-20",IF(B578&lt;=23,"21-23","24-25"))</f>
        <v>21-23</v>
      </c>
    </row>
    <row r="579" spans="1:16">
      <c r="A579" t="s">
        <v>613</v>
      </c>
      <c r="B579">
        <v>23</v>
      </c>
      <c r="C579" t="s">
        <v>4</v>
      </c>
      <c r="D579">
        <v>72.56</v>
      </c>
      <c r="E579">
        <v>3</v>
      </c>
      <c r="F579">
        <v>5.61</v>
      </c>
      <c r="G579">
        <v>18.489999999999998</v>
      </c>
      <c r="H579">
        <v>97.98</v>
      </c>
      <c r="I579">
        <v>8</v>
      </c>
      <c r="J579">
        <v>0</v>
      </c>
      <c r="K579">
        <f>(StudentData[[#This Row],[Midterm_Grade]]*40%)+(StudentData[[#This Row],[Final_Grade]]*60%)</f>
        <v>66.183999999999997</v>
      </c>
      <c r="L579">
        <f>StudentData[[#This Row],[Attendance_Percentage]]*40%+StudentData[[#This Row],[Assignments_Completed]]*2+StudentData[[#This Row],[Class_Participation]]*2+StudentData[[#This Row],[Projects_Submitted]]*4</f>
        <v>46.244</v>
      </c>
      <c r="M579">
        <f>StudentData[[#This Row],[Academic_Score]]*60%+StudentData[[#This Row],[Engagement_Score]]*30%+MIN(StudentData[[#This Row],[Study_Hours_per_Week]],20)/20*100*10%</f>
        <v>57.583599999999997</v>
      </c>
      <c r="N579" s="3" t="str" cm="1">
        <f t="array" ref="N579">_xlfn.IFS(StudentData[[#This Row],[Success_Score]]&gt;=85,"Exceptional",StudentData[[#This Row],[Success_Score]]&gt;=70,"Strong",StudentData[[#This Row],[Success_Score]]&gt;=55,"Developing",TRUE,"Needs Improvement")</f>
        <v>Developing</v>
      </c>
      <c r="O579" s="3" t="str">
        <f t="shared" si="18"/>
        <v>Low Risk</v>
      </c>
      <c r="P579" s="3" t="str">
        <f t="shared" si="19"/>
        <v>21-23</v>
      </c>
    </row>
    <row r="580" spans="1:16">
      <c r="A580" t="s">
        <v>614</v>
      </c>
      <c r="B580">
        <v>19</v>
      </c>
      <c r="C580" t="s">
        <v>5</v>
      </c>
      <c r="D580">
        <v>99.25</v>
      </c>
      <c r="E580">
        <v>5</v>
      </c>
      <c r="F580">
        <v>9.43</v>
      </c>
      <c r="G580">
        <v>42.82</v>
      </c>
      <c r="H580">
        <v>86.86</v>
      </c>
      <c r="I580">
        <v>1</v>
      </c>
      <c r="J580">
        <v>5</v>
      </c>
      <c r="K580">
        <f>(StudentData[[#This Row],[Midterm_Grade]]*40%)+(StudentData[[#This Row],[Final_Grade]]*60%)</f>
        <v>69.244</v>
      </c>
      <c r="L580">
        <f>StudentData[[#This Row],[Attendance_Percentage]]*40%+StudentData[[#This Row],[Assignments_Completed]]*2+StudentData[[#This Row],[Class_Participation]]*2+StudentData[[#This Row],[Projects_Submitted]]*4</f>
        <v>88.56</v>
      </c>
      <c r="M580">
        <f>StudentData[[#This Row],[Academic_Score]]*60%+StudentData[[#This Row],[Engagement_Score]]*30%+MIN(StudentData[[#This Row],[Study_Hours_per_Week]],20)/20*100*10%</f>
        <v>68.614400000000003</v>
      </c>
      <c r="N580" s="3" t="str" cm="1">
        <f t="array" ref="N580">_xlfn.IFS(StudentData[[#This Row],[Success_Score]]&gt;=85,"Exceptional",StudentData[[#This Row],[Success_Score]]&gt;=70,"Strong",StudentData[[#This Row],[Success_Score]]&gt;=55,"Developing",TRUE,"Needs Improvement")</f>
        <v>Developing</v>
      </c>
      <c r="O580" s="3" t="str">
        <f t="shared" si="18"/>
        <v>Low Risk</v>
      </c>
      <c r="P580" s="3" t="str">
        <f t="shared" si="19"/>
        <v>18-20</v>
      </c>
    </row>
    <row r="581" spans="1:16">
      <c r="A581" t="s">
        <v>615</v>
      </c>
      <c r="B581">
        <v>19</v>
      </c>
      <c r="C581" t="s">
        <v>6</v>
      </c>
      <c r="D581">
        <v>88.6</v>
      </c>
      <c r="E581">
        <v>2</v>
      </c>
      <c r="F581">
        <v>0.83</v>
      </c>
      <c r="G581">
        <v>6.14</v>
      </c>
      <c r="H581">
        <v>17.399999999999999</v>
      </c>
      <c r="I581">
        <v>7</v>
      </c>
      <c r="J581">
        <v>4</v>
      </c>
      <c r="K581">
        <f>(StudentData[[#This Row],[Midterm_Grade]]*40%)+(StudentData[[#This Row],[Final_Grade]]*60%)</f>
        <v>12.895999999999999</v>
      </c>
      <c r="L581">
        <f>StudentData[[#This Row],[Attendance_Percentage]]*40%+StudentData[[#This Row],[Assignments_Completed]]*2+StudentData[[#This Row],[Class_Participation]]*2+StudentData[[#This Row],[Projects_Submitted]]*4</f>
        <v>57.099999999999994</v>
      </c>
      <c r="M581">
        <f>StudentData[[#This Row],[Academic_Score]]*60%+StudentData[[#This Row],[Engagement_Score]]*30%+MIN(StudentData[[#This Row],[Study_Hours_per_Week]],20)/20*100*10%</f>
        <v>28.367599999999996</v>
      </c>
      <c r="N581" s="3" t="str" cm="1">
        <f t="array" ref="N58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81" s="3" t="str">
        <f t="shared" si="18"/>
        <v>Medium Risk</v>
      </c>
      <c r="P581" s="3" t="str">
        <f t="shared" si="19"/>
        <v>18-20</v>
      </c>
    </row>
    <row r="582" spans="1:16">
      <c r="A582" t="s">
        <v>616</v>
      </c>
      <c r="B582">
        <v>23</v>
      </c>
      <c r="C582" t="s">
        <v>4</v>
      </c>
      <c r="D582">
        <v>51.36</v>
      </c>
      <c r="E582">
        <v>3</v>
      </c>
      <c r="F582">
        <v>2.54</v>
      </c>
      <c r="G582">
        <v>22.39</v>
      </c>
      <c r="H582">
        <v>4.62</v>
      </c>
      <c r="I582">
        <v>19</v>
      </c>
      <c r="J582">
        <v>4</v>
      </c>
      <c r="K582">
        <f>(StudentData[[#This Row],[Midterm_Grade]]*40%)+(StudentData[[#This Row],[Final_Grade]]*60%)</f>
        <v>11.728000000000002</v>
      </c>
      <c r="L582">
        <f>StudentData[[#This Row],[Attendance_Percentage]]*40%+StudentData[[#This Row],[Assignments_Completed]]*2+StudentData[[#This Row],[Class_Participation]]*2+StudentData[[#This Row],[Projects_Submitted]]*4</f>
        <v>47.624000000000002</v>
      </c>
      <c r="M582">
        <f>StudentData[[#This Row],[Academic_Score]]*60%+StudentData[[#This Row],[Engagement_Score]]*30%+MIN(StudentData[[#This Row],[Study_Hours_per_Week]],20)/20*100*10%</f>
        <v>30.824000000000002</v>
      </c>
      <c r="N582" s="3" t="str" cm="1">
        <f t="array" ref="N58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82" s="3" t="str">
        <f t="shared" si="18"/>
        <v>High Risk</v>
      </c>
      <c r="P582" s="3" t="str">
        <f t="shared" si="19"/>
        <v>21-23</v>
      </c>
    </row>
    <row r="583" spans="1:16">
      <c r="A583" t="s">
        <v>617</v>
      </c>
      <c r="B583">
        <v>18</v>
      </c>
      <c r="C583" t="s">
        <v>5</v>
      </c>
      <c r="D583">
        <v>53.26</v>
      </c>
      <c r="E583">
        <v>8</v>
      </c>
      <c r="F583">
        <v>7.8</v>
      </c>
      <c r="G583">
        <v>36.33</v>
      </c>
      <c r="H583">
        <v>57.96</v>
      </c>
      <c r="I583">
        <v>1</v>
      </c>
      <c r="J583">
        <v>0</v>
      </c>
      <c r="K583">
        <f>(StudentData[[#This Row],[Midterm_Grade]]*40%)+(StudentData[[#This Row],[Final_Grade]]*60%)</f>
        <v>49.307999999999993</v>
      </c>
      <c r="L583">
        <f>StudentData[[#This Row],[Attendance_Percentage]]*40%+StudentData[[#This Row],[Assignments_Completed]]*2+StudentData[[#This Row],[Class_Participation]]*2+StudentData[[#This Row],[Projects_Submitted]]*4</f>
        <v>52.904000000000003</v>
      </c>
      <c r="M583">
        <f>StudentData[[#This Row],[Academic_Score]]*60%+StudentData[[#This Row],[Engagement_Score]]*30%+MIN(StudentData[[#This Row],[Study_Hours_per_Week]],20)/20*100*10%</f>
        <v>45.955999999999996</v>
      </c>
      <c r="N583" s="3" t="str" cm="1">
        <f t="array" ref="N58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83" s="3" t="str">
        <f t="shared" si="18"/>
        <v>High Risk</v>
      </c>
      <c r="P583" s="3" t="str">
        <f t="shared" si="19"/>
        <v>18-20</v>
      </c>
    </row>
    <row r="584" spans="1:16">
      <c r="A584" t="s">
        <v>618</v>
      </c>
      <c r="B584">
        <v>21</v>
      </c>
      <c r="C584" t="s">
        <v>5</v>
      </c>
      <c r="D584">
        <v>73.2</v>
      </c>
      <c r="E584">
        <v>4</v>
      </c>
      <c r="F584">
        <v>0.99</v>
      </c>
      <c r="G584">
        <v>43.86</v>
      </c>
      <c r="H584">
        <v>91.26</v>
      </c>
      <c r="I584">
        <v>10</v>
      </c>
      <c r="J584">
        <v>4</v>
      </c>
      <c r="K584">
        <f>(StudentData[[#This Row],[Midterm_Grade]]*40%)+(StudentData[[#This Row],[Final_Grade]]*60%)</f>
        <v>72.3</v>
      </c>
      <c r="L584">
        <f>StudentData[[#This Row],[Attendance_Percentage]]*40%+StudentData[[#This Row],[Assignments_Completed]]*2+StudentData[[#This Row],[Class_Participation]]*2+StudentData[[#This Row],[Projects_Submitted]]*4</f>
        <v>55.26</v>
      </c>
      <c r="M584">
        <f>StudentData[[#This Row],[Academic_Score]]*60%+StudentData[[#This Row],[Engagement_Score]]*30%+MIN(StudentData[[#This Row],[Study_Hours_per_Week]],20)/20*100*10%</f>
        <v>64.957999999999998</v>
      </c>
      <c r="N584" s="3" t="str" cm="1">
        <f t="array" ref="N584">_xlfn.IFS(StudentData[[#This Row],[Success_Score]]&gt;=85,"Exceptional",StudentData[[#This Row],[Success_Score]]&gt;=70,"Strong",StudentData[[#This Row],[Success_Score]]&gt;=55,"Developing",TRUE,"Needs Improvement")</f>
        <v>Developing</v>
      </c>
      <c r="O584" s="3" t="str">
        <f t="shared" si="18"/>
        <v>Low Risk</v>
      </c>
      <c r="P584" s="3" t="str">
        <f t="shared" si="19"/>
        <v>21-23</v>
      </c>
    </row>
    <row r="585" spans="1:16">
      <c r="A585" t="s">
        <v>619</v>
      </c>
      <c r="B585">
        <v>19</v>
      </c>
      <c r="C585" t="s">
        <v>4</v>
      </c>
      <c r="D585">
        <v>95.46</v>
      </c>
      <c r="E585">
        <v>6</v>
      </c>
      <c r="F585">
        <v>0.76</v>
      </c>
      <c r="G585">
        <v>97.75</v>
      </c>
      <c r="H585">
        <v>17.739999999999998</v>
      </c>
      <c r="I585">
        <v>6</v>
      </c>
      <c r="J585">
        <v>2</v>
      </c>
      <c r="K585">
        <f>(StudentData[[#This Row],[Midterm_Grade]]*40%)+(StudentData[[#This Row],[Final_Grade]]*60%)</f>
        <v>49.744</v>
      </c>
      <c r="L585">
        <f>StudentData[[#This Row],[Attendance_Percentage]]*40%+StudentData[[#This Row],[Assignments_Completed]]*2+StudentData[[#This Row],[Class_Participation]]*2+StudentData[[#This Row],[Projects_Submitted]]*4</f>
        <v>59.704000000000001</v>
      </c>
      <c r="M585">
        <f>StudentData[[#This Row],[Academic_Score]]*60%+StudentData[[#This Row],[Engagement_Score]]*30%+MIN(StudentData[[#This Row],[Study_Hours_per_Week]],20)/20*100*10%</f>
        <v>50.757599999999996</v>
      </c>
      <c r="N585" s="3" t="str" cm="1">
        <f t="array" ref="N58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85" s="3" t="str">
        <f t="shared" si="18"/>
        <v>Medium Risk</v>
      </c>
      <c r="P585" s="3" t="str">
        <f t="shared" si="19"/>
        <v>18-20</v>
      </c>
    </row>
    <row r="586" spans="1:16">
      <c r="A586" t="s">
        <v>620</v>
      </c>
      <c r="B586">
        <v>23</v>
      </c>
      <c r="C586" t="s">
        <v>6</v>
      </c>
      <c r="D586">
        <v>76.94</v>
      </c>
      <c r="E586">
        <v>9</v>
      </c>
      <c r="F586">
        <v>3.62</v>
      </c>
      <c r="G586">
        <v>80.790000000000006</v>
      </c>
      <c r="H586">
        <v>0.7</v>
      </c>
      <c r="I586">
        <v>5</v>
      </c>
      <c r="J586">
        <v>4</v>
      </c>
      <c r="K586">
        <f>(StudentData[[#This Row],[Midterm_Grade]]*40%)+(StudentData[[#This Row],[Final_Grade]]*60%)</f>
        <v>32.736000000000004</v>
      </c>
      <c r="L586">
        <f>StudentData[[#This Row],[Attendance_Percentage]]*40%+StudentData[[#This Row],[Assignments_Completed]]*2+StudentData[[#This Row],[Class_Participation]]*2+StudentData[[#This Row],[Projects_Submitted]]*4</f>
        <v>72.015999999999991</v>
      </c>
      <c r="M586">
        <f>StudentData[[#This Row],[Academic_Score]]*60%+StudentData[[#This Row],[Engagement_Score]]*30%+MIN(StudentData[[#This Row],[Study_Hours_per_Week]],20)/20*100*10%</f>
        <v>43.746399999999994</v>
      </c>
      <c r="N586" s="3" t="str" cm="1">
        <f t="array" ref="N58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86" s="3" t="str">
        <f t="shared" si="18"/>
        <v>Medium Risk</v>
      </c>
      <c r="P586" s="3" t="str">
        <f t="shared" si="19"/>
        <v>21-23</v>
      </c>
    </row>
    <row r="587" spans="1:16">
      <c r="A587" t="s">
        <v>621</v>
      </c>
      <c r="B587">
        <v>24</v>
      </c>
      <c r="C587" t="s">
        <v>4</v>
      </c>
      <c r="D587">
        <v>74.89</v>
      </c>
      <c r="E587">
        <v>1</v>
      </c>
      <c r="F587">
        <v>0.92</v>
      </c>
      <c r="G587">
        <v>73.739999999999995</v>
      </c>
      <c r="H587">
        <v>80.55</v>
      </c>
      <c r="I587">
        <v>9</v>
      </c>
      <c r="J587">
        <v>2</v>
      </c>
      <c r="K587">
        <f>(StudentData[[#This Row],[Midterm_Grade]]*40%)+(StudentData[[#This Row],[Final_Grade]]*60%)</f>
        <v>77.825999999999993</v>
      </c>
      <c r="L587">
        <f>StudentData[[#This Row],[Attendance_Percentage]]*40%+StudentData[[#This Row],[Assignments_Completed]]*2+StudentData[[#This Row],[Class_Participation]]*2+StudentData[[#This Row],[Projects_Submitted]]*4</f>
        <v>41.796000000000006</v>
      </c>
      <c r="M587">
        <f>StudentData[[#This Row],[Academic_Score]]*60%+StudentData[[#This Row],[Engagement_Score]]*30%+MIN(StudentData[[#This Row],[Study_Hours_per_Week]],20)/20*100*10%</f>
        <v>63.734399999999994</v>
      </c>
      <c r="N587" s="3" t="str" cm="1">
        <f t="array" ref="N587">_xlfn.IFS(StudentData[[#This Row],[Success_Score]]&gt;=85,"Exceptional",StudentData[[#This Row],[Success_Score]]&gt;=70,"Strong",StudentData[[#This Row],[Success_Score]]&gt;=55,"Developing",TRUE,"Needs Improvement")</f>
        <v>Developing</v>
      </c>
      <c r="O587" s="3" t="str">
        <f t="shared" si="18"/>
        <v>Low Risk</v>
      </c>
      <c r="P587" s="3" t="str">
        <f t="shared" si="19"/>
        <v>24-25</v>
      </c>
    </row>
    <row r="588" spans="1:16">
      <c r="A588" t="s">
        <v>622</v>
      </c>
      <c r="B588">
        <v>23</v>
      </c>
      <c r="C588" t="s">
        <v>4</v>
      </c>
      <c r="D588">
        <v>55.27</v>
      </c>
      <c r="E588">
        <v>4</v>
      </c>
      <c r="F588">
        <v>5.85</v>
      </c>
      <c r="G588">
        <v>53.7</v>
      </c>
      <c r="H588">
        <v>7.68</v>
      </c>
      <c r="I588">
        <v>4</v>
      </c>
      <c r="J588">
        <v>1</v>
      </c>
      <c r="K588">
        <f>(StudentData[[#This Row],[Midterm_Grade]]*40%)+(StudentData[[#This Row],[Final_Grade]]*60%)</f>
        <v>26.088000000000005</v>
      </c>
      <c r="L588">
        <f>StudentData[[#This Row],[Attendance_Percentage]]*40%+StudentData[[#This Row],[Assignments_Completed]]*2+StudentData[[#This Row],[Class_Participation]]*2+StudentData[[#This Row],[Projects_Submitted]]*4</f>
        <v>45.808000000000007</v>
      </c>
      <c r="M588">
        <f>StudentData[[#This Row],[Academic_Score]]*60%+StudentData[[#This Row],[Engagement_Score]]*30%+MIN(StudentData[[#This Row],[Study_Hours_per_Week]],20)/20*100*10%</f>
        <v>31.395200000000003</v>
      </c>
      <c r="N588" s="3" t="str" cm="1">
        <f t="array" ref="N58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88" s="3" t="str">
        <f t="shared" si="18"/>
        <v>High Risk</v>
      </c>
      <c r="P588" s="3" t="str">
        <f t="shared" si="19"/>
        <v>21-23</v>
      </c>
    </row>
    <row r="589" spans="1:16">
      <c r="A589" t="s">
        <v>623</v>
      </c>
      <c r="B589">
        <v>20</v>
      </c>
      <c r="C589" t="s">
        <v>5</v>
      </c>
      <c r="D589">
        <v>82.84</v>
      </c>
      <c r="E589">
        <v>8</v>
      </c>
      <c r="F589">
        <v>2.2599999999999998</v>
      </c>
      <c r="G589">
        <v>84</v>
      </c>
      <c r="H589">
        <v>41.37</v>
      </c>
      <c r="I589">
        <v>10</v>
      </c>
      <c r="J589">
        <v>1</v>
      </c>
      <c r="K589">
        <f>(StudentData[[#This Row],[Midterm_Grade]]*40%)+(StudentData[[#This Row],[Final_Grade]]*60%)</f>
        <v>58.421999999999997</v>
      </c>
      <c r="L589">
        <f>StudentData[[#This Row],[Attendance_Percentage]]*40%+StudentData[[#This Row],[Assignments_Completed]]*2+StudentData[[#This Row],[Class_Participation]]*2+StudentData[[#This Row],[Projects_Submitted]]*4</f>
        <v>57.656000000000006</v>
      </c>
      <c r="M589">
        <f>StudentData[[#This Row],[Academic_Score]]*60%+StudentData[[#This Row],[Engagement_Score]]*30%+MIN(StudentData[[#This Row],[Study_Hours_per_Week]],20)/20*100*10%</f>
        <v>57.349999999999994</v>
      </c>
      <c r="N589" s="3" t="str" cm="1">
        <f t="array" ref="N589">_xlfn.IFS(StudentData[[#This Row],[Success_Score]]&gt;=85,"Exceptional",StudentData[[#This Row],[Success_Score]]&gt;=70,"Strong",StudentData[[#This Row],[Success_Score]]&gt;=55,"Developing",TRUE,"Needs Improvement")</f>
        <v>Developing</v>
      </c>
      <c r="O589" s="3" t="str">
        <f t="shared" si="18"/>
        <v>Medium Risk</v>
      </c>
      <c r="P589" s="3" t="str">
        <f t="shared" si="19"/>
        <v>18-20</v>
      </c>
    </row>
    <row r="590" spans="1:16">
      <c r="A590" t="s">
        <v>624</v>
      </c>
      <c r="B590">
        <v>21</v>
      </c>
      <c r="C590" t="s">
        <v>6</v>
      </c>
      <c r="D590">
        <v>91.11</v>
      </c>
      <c r="E590">
        <v>10</v>
      </c>
      <c r="F590">
        <v>8.9600000000000009</v>
      </c>
      <c r="G590">
        <v>33.93</v>
      </c>
      <c r="H590">
        <v>67.89</v>
      </c>
      <c r="I590">
        <v>0</v>
      </c>
      <c r="J590">
        <v>3</v>
      </c>
      <c r="K590">
        <f>(StudentData[[#This Row],[Midterm_Grade]]*40%)+(StudentData[[#This Row],[Final_Grade]]*60%)</f>
        <v>54.306000000000004</v>
      </c>
      <c r="L590">
        <f>StudentData[[#This Row],[Attendance_Percentage]]*40%+StudentData[[#This Row],[Assignments_Completed]]*2+StudentData[[#This Row],[Class_Participation]]*2+StudentData[[#This Row],[Projects_Submitted]]*4</f>
        <v>86.364000000000004</v>
      </c>
      <c r="M590">
        <f>StudentData[[#This Row],[Academic_Score]]*60%+StudentData[[#This Row],[Engagement_Score]]*30%+MIN(StudentData[[#This Row],[Study_Hours_per_Week]],20)/20*100*10%</f>
        <v>58.492800000000003</v>
      </c>
      <c r="N590" s="3" t="str" cm="1">
        <f t="array" ref="N590">_xlfn.IFS(StudentData[[#This Row],[Success_Score]]&gt;=85,"Exceptional",StudentData[[#This Row],[Success_Score]]&gt;=70,"Strong",StudentData[[#This Row],[Success_Score]]&gt;=55,"Developing",TRUE,"Needs Improvement")</f>
        <v>Developing</v>
      </c>
      <c r="O590" s="3" t="str">
        <f t="shared" si="18"/>
        <v>Medium Risk</v>
      </c>
      <c r="P590" s="3" t="str">
        <f t="shared" si="19"/>
        <v>21-23</v>
      </c>
    </row>
    <row r="591" spans="1:16">
      <c r="A591" t="s">
        <v>625</v>
      </c>
      <c r="B591">
        <v>22</v>
      </c>
      <c r="C591" t="s">
        <v>5</v>
      </c>
      <c r="D591">
        <v>69.02</v>
      </c>
      <c r="E591">
        <v>2</v>
      </c>
      <c r="F591">
        <v>7.84</v>
      </c>
      <c r="G591">
        <v>70.89</v>
      </c>
      <c r="H591">
        <v>23.68</v>
      </c>
      <c r="I591">
        <v>1</v>
      </c>
      <c r="J591">
        <v>2</v>
      </c>
      <c r="K591">
        <f>(StudentData[[#This Row],[Midterm_Grade]]*40%)+(StudentData[[#This Row],[Final_Grade]]*60%)</f>
        <v>42.564</v>
      </c>
      <c r="L591">
        <f>StudentData[[#This Row],[Attendance_Percentage]]*40%+StudentData[[#This Row],[Assignments_Completed]]*2+StudentData[[#This Row],[Class_Participation]]*2+StudentData[[#This Row],[Projects_Submitted]]*4</f>
        <v>55.287999999999997</v>
      </c>
      <c r="M591">
        <f>StudentData[[#This Row],[Academic_Score]]*60%+StudentData[[#This Row],[Engagement_Score]]*30%+MIN(StudentData[[#This Row],[Study_Hours_per_Week]],20)/20*100*10%</f>
        <v>42.624799999999993</v>
      </c>
      <c r="N591" s="3" t="str" cm="1">
        <f t="array" ref="N59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91" s="3" t="str">
        <f t="shared" si="18"/>
        <v>Medium Risk</v>
      </c>
      <c r="P591" s="3" t="str">
        <f t="shared" si="19"/>
        <v>21-23</v>
      </c>
    </row>
    <row r="592" spans="1:16">
      <c r="A592" t="s">
        <v>626</v>
      </c>
      <c r="B592">
        <v>18</v>
      </c>
      <c r="C592" t="s">
        <v>6</v>
      </c>
      <c r="D592">
        <v>88.78</v>
      </c>
      <c r="E592">
        <v>8</v>
      </c>
      <c r="F592">
        <v>7</v>
      </c>
      <c r="G592">
        <v>99.38</v>
      </c>
      <c r="H592">
        <v>8.4</v>
      </c>
      <c r="I592">
        <v>0</v>
      </c>
      <c r="J592">
        <v>5</v>
      </c>
      <c r="K592">
        <f>(StudentData[[#This Row],[Midterm_Grade]]*40%)+(StudentData[[#This Row],[Final_Grade]]*60%)</f>
        <v>44.792000000000002</v>
      </c>
      <c r="L592">
        <f>StudentData[[#This Row],[Attendance_Percentage]]*40%+StudentData[[#This Row],[Assignments_Completed]]*2+StudentData[[#This Row],[Class_Participation]]*2+StudentData[[#This Row],[Projects_Submitted]]*4</f>
        <v>85.512</v>
      </c>
      <c r="M592">
        <f>StudentData[[#This Row],[Academic_Score]]*60%+StudentData[[#This Row],[Engagement_Score]]*30%+MIN(StudentData[[#This Row],[Study_Hours_per_Week]],20)/20*100*10%</f>
        <v>52.528800000000004</v>
      </c>
      <c r="N592" s="3" t="str" cm="1">
        <f t="array" ref="N59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92" s="3" t="str">
        <f t="shared" si="18"/>
        <v>Medium Risk</v>
      </c>
      <c r="P592" s="3" t="str">
        <f t="shared" si="19"/>
        <v>18-20</v>
      </c>
    </row>
    <row r="593" spans="1:16">
      <c r="A593" t="s">
        <v>627</v>
      </c>
      <c r="B593">
        <v>25</v>
      </c>
      <c r="C593" t="s">
        <v>4</v>
      </c>
      <c r="D593">
        <v>98.22</v>
      </c>
      <c r="E593">
        <v>10</v>
      </c>
      <c r="F593">
        <v>6.17</v>
      </c>
      <c r="G593">
        <v>31.46</v>
      </c>
      <c r="H593">
        <v>77</v>
      </c>
      <c r="I593">
        <v>18</v>
      </c>
      <c r="J593">
        <v>1</v>
      </c>
      <c r="K593">
        <f>(StudentData[[#This Row],[Midterm_Grade]]*40%)+(StudentData[[#This Row],[Final_Grade]]*60%)</f>
        <v>58.783999999999999</v>
      </c>
      <c r="L593">
        <f>StudentData[[#This Row],[Attendance_Percentage]]*40%+StudentData[[#This Row],[Assignments_Completed]]*2+StudentData[[#This Row],[Class_Participation]]*2+StudentData[[#This Row],[Projects_Submitted]]*4</f>
        <v>75.628</v>
      </c>
      <c r="M593">
        <f>StudentData[[#This Row],[Academic_Score]]*60%+StudentData[[#This Row],[Engagement_Score]]*30%+MIN(StudentData[[#This Row],[Study_Hours_per_Week]],20)/20*100*10%</f>
        <v>66.958799999999997</v>
      </c>
      <c r="N593" s="3" t="str" cm="1">
        <f t="array" ref="N593">_xlfn.IFS(StudentData[[#This Row],[Success_Score]]&gt;=85,"Exceptional",StudentData[[#This Row],[Success_Score]]&gt;=70,"Strong",StudentData[[#This Row],[Success_Score]]&gt;=55,"Developing",TRUE,"Needs Improvement")</f>
        <v>Developing</v>
      </c>
      <c r="O593" s="3" t="str">
        <f t="shared" si="18"/>
        <v>Medium Risk</v>
      </c>
      <c r="P593" s="3" t="str">
        <f t="shared" si="19"/>
        <v>24-25</v>
      </c>
    </row>
    <row r="594" spans="1:16">
      <c r="A594" t="s">
        <v>628</v>
      </c>
      <c r="B594">
        <v>22</v>
      </c>
      <c r="C594" t="s">
        <v>4</v>
      </c>
      <c r="D594">
        <v>60.19</v>
      </c>
      <c r="E594">
        <v>5</v>
      </c>
      <c r="F594">
        <v>8.6300000000000008</v>
      </c>
      <c r="G594">
        <v>67.400000000000006</v>
      </c>
      <c r="H594">
        <v>63.02</v>
      </c>
      <c r="I594">
        <v>1</v>
      </c>
      <c r="J594">
        <v>4</v>
      </c>
      <c r="K594">
        <f>(StudentData[[#This Row],[Midterm_Grade]]*40%)+(StudentData[[#This Row],[Final_Grade]]*60%)</f>
        <v>64.772000000000006</v>
      </c>
      <c r="L594">
        <f>StudentData[[#This Row],[Attendance_Percentage]]*40%+StudentData[[#This Row],[Assignments_Completed]]*2+StudentData[[#This Row],[Class_Participation]]*2+StudentData[[#This Row],[Projects_Submitted]]*4</f>
        <v>67.335999999999999</v>
      </c>
      <c r="M594">
        <f>StudentData[[#This Row],[Academic_Score]]*60%+StudentData[[#This Row],[Engagement_Score]]*30%+MIN(StudentData[[#This Row],[Study_Hours_per_Week]],20)/20*100*10%</f>
        <v>59.563999999999993</v>
      </c>
      <c r="N594" s="3" t="str" cm="1">
        <f t="array" ref="N594">_xlfn.IFS(StudentData[[#This Row],[Success_Score]]&gt;=85,"Exceptional",StudentData[[#This Row],[Success_Score]]&gt;=70,"Strong",StudentData[[#This Row],[Success_Score]]&gt;=55,"Developing",TRUE,"Needs Improvement")</f>
        <v>Developing</v>
      </c>
      <c r="O594" s="3" t="str">
        <f t="shared" si="18"/>
        <v>Medium Risk</v>
      </c>
      <c r="P594" s="3" t="str">
        <f t="shared" si="19"/>
        <v>21-23</v>
      </c>
    </row>
    <row r="595" spans="1:16">
      <c r="A595" t="s">
        <v>629</v>
      </c>
      <c r="B595">
        <v>21</v>
      </c>
      <c r="C595" t="s">
        <v>4</v>
      </c>
      <c r="D595">
        <v>76.17</v>
      </c>
      <c r="E595">
        <v>3</v>
      </c>
      <c r="F595">
        <v>2.23</v>
      </c>
      <c r="G595">
        <v>84.43</v>
      </c>
      <c r="H595">
        <v>98.85</v>
      </c>
      <c r="I595">
        <v>19</v>
      </c>
      <c r="J595">
        <v>0</v>
      </c>
      <c r="K595">
        <f>(StudentData[[#This Row],[Midterm_Grade]]*40%)+(StudentData[[#This Row],[Final_Grade]]*60%)</f>
        <v>93.081999999999994</v>
      </c>
      <c r="L595">
        <f>StudentData[[#This Row],[Attendance_Percentage]]*40%+StudentData[[#This Row],[Assignments_Completed]]*2+StudentData[[#This Row],[Class_Participation]]*2+StudentData[[#This Row],[Projects_Submitted]]*4</f>
        <v>40.928000000000004</v>
      </c>
      <c r="M595">
        <f>StudentData[[#This Row],[Academic_Score]]*60%+StudentData[[#This Row],[Engagement_Score]]*30%+MIN(StudentData[[#This Row],[Study_Hours_per_Week]],20)/20*100*10%</f>
        <v>77.627600000000001</v>
      </c>
      <c r="N595" s="3" t="str" cm="1">
        <f t="array" ref="N595">_xlfn.IFS(StudentData[[#This Row],[Success_Score]]&gt;=85,"Exceptional",StudentData[[#This Row],[Success_Score]]&gt;=70,"Strong",StudentData[[#This Row],[Success_Score]]&gt;=55,"Developing",TRUE,"Needs Improvement")</f>
        <v>Strong</v>
      </c>
      <c r="O595" s="3" t="str">
        <f t="shared" si="18"/>
        <v>Low Risk</v>
      </c>
      <c r="P595" s="3" t="str">
        <f t="shared" si="19"/>
        <v>21-23</v>
      </c>
    </row>
    <row r="596" spans="1:16">
      <c r="A596" t="s">
        <v>630</v>
      </c>
      <c r="B596">
        <v>21</v>
      </c>
      <c r="C596" t="s">
        <v>5</v>
      </c>
      <c r="D596">
        <v>64.36</v>
      </c>
      <c r="E596">
        <v>6</v>
      </c>
      <c r="F596">
        <v>8.73</v>
      </c>
      <c r="G596">
        <v>91.58</v>
      </c>
      <c r="H596">
        <v>34.43</v>
      </c>
      <c r="I596">
        <v>3</v>
      </c>
      <c r="J596">
        <v>0</v>
      </c>
      <c r="K596">
        <f>(StudentData[[#This Row],[Midterm_Grade]]*40%)+(StudentData[[#This Row],[Final_Grade]]*60%)</f>
        <v>57.289999999999992</v>
      </c>
      <c r="L596">
        <f>StudentData[[#This Row],[Attendance_Percentage]]*40%+StudentData[[#This Row],[Assignments_Completed]]*2+StudentData[[#This Row],[Class_Participation]]*2+StudentData[[#This Row],[Projects_Submitted]]*4</f>
        <v>55.204000000000001</v>
      </c>
      <c r="M596">
        <f>StudentData[[#This Row],[Academic_Score]]*60%+StudentData[[#This Row],[Engagement_Score]]*30%+MIN(StudentData[[#This Row],[Study_Hours_per_Week]],20)/20*100*10%</f>
        <v>52.435199999999995</v>
      </c>
      <c r="N596" s="3" t="str" cm="1">
        <f t="array" ref="N59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96" s="3" t="str">
        <f t="shared" si="18"/>
        <v>Medium Risk</v>
      </c>
      <c r="P596" s="3" t="str">
        <f t="shared" si="19"/>
        <v>21-23</v>
      </c>
    </row>
    <row r="597" spans="1:16">
      <c r="A597" t="s">
        <v>631</v>
      </c>
      <c r="B597">
        <v>21</v>
      </c>
      <c r="C597" t="s">
        <v>5</v>
      </c>
      <c r="D597">
        <v>89.64</v>
      </c>
      <c r="E597">
        <v>7</v>
      </c>
      <c r="F597">
        <v>7.89</v>
      </c>
      <c r="G597">
        <v>71.790000000000006</v>
      </c>
      <c r="H597">
        <v>6.18</v>
      </c>
      <c r="I597">
        <v>11</v>
      </c>
      <c r="J597">
        <v>2</v>
      </c>
      <c r="K597">
        <f>(StudentData[[#This Row],[Midterm_Grade]]*40%)+(StudentData[[#This Row],[Final_Grade]]*60%)</f>
        <v>32.424000000000007</v>
      </c>
      <c r="L597">
        <f>StudentData[[#This Row],[Attendance_Percentage]]*40%+StudentData[[#This Row],[Assignments_Completed]]*2+StudentData[[#This Row],[Class_Participation]]*2+StudentData[[#This Row],[Projects_Submitted]]*4</f>
        <v>73.635999999999996</v>
      </c>
      <c r="M597">
        <f>StudentData[[#This Row],[Academic_Score]]*60%+StudentData[[#This Row],[Engagement_Score]]*30%+MIN(StudentData[[#This Row],[Study_Hours_per_Week]],20)/20*100*10%</f>
        <v>47.045200000000001</v>
      </c>
      <c r="N597" s="3" t="str" cm="1">
        <f t="array" ref="N59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97" s="3" t="str">
        <f t="shared" si="18"/>
        <v>Medium Risk</v>
      </c>
      <c r="P597" s="3" t="str">
        <f t="shared" si="19"/>
        <v>21-23</v>
      </c>
    </row>
    <row r="598" spans="1:16">
      <c r="A598" t="s">
        <v>632</v>
      </c>
      <c r="B598">
        <v>22</v>
      </c>
      <c r="C598" t="s">
        <v>5</v>
      </c>
      <c r="D598">
        <v>78.88</v>
      </c>
      <c r="E598">
        <v>5</v>
      </c>
      <c r="F598">
        <v>7.48</v>
      </c>
      <c r="G598">
        <v>28.36</v>
      </c>
      <c r="H598">
        <v>73.44</v>
      </c>
      <c r="I598">
        <v>19</v>
      </c>
      <c r="J598">
        <v>5</v>
      </c>
      <c r="K598">
        <f>(StudentData[[#This Row],[Midterm_Grade]]*40%)+(StudentData[[#This Row],[Final_Grade]]*60%)</f>
        <v>55.408000000000001</v>
      </c>
      <c r="L598">
        <f>StudentData[[#This Row],[Attendance_Percentage]]*40%+StudentData[[#This Row],[Assignments_Completed]]*2+StudentData[[#This Row],[Class_Participation]]*2+StudentData[[#This Row],[Projects_Submitted]]*4</f>
        <v>76.512</v>
      </c>
      <c r="M598">
        <f>StudentData[[#This Row],[Academic_Score]]*60%+StudentData[[#This Row],[Engagement_Score]]*30%+MIN(StudentData[[#This Row],[Study_Hours_per_Week]],20)/20*100*10%</f>
        <v>65.698399999999992</v>
      </c>
      <c r="N598" s="3" t="str" cm="1">
        <f t="array" ref="N598">_xlfn.IFS(StudentData[[#This Row],[Success_Score]]&gt;=85,"Exceptional",StudentData[[#This Row],[Success_Score]]&gt;=70,"Strong",StudentData[[#This Row],[Success_Score]]&gt;=55,"Developing",TRUE,"Needs Improvement")</f>
        <v>Developing</v>
      </c>
      <c r="O598" s="3" t="str">
        <f t="shared" si="18"/>
        <v>Medium Risk</v>
      </c>
      <c r="P598" s="3" t="str">
        <f t="shared" si="19"/>
        <v>21-23</v>
      </c>
    </row>
    <row r="599" spans="1:16">
      <c r="A599" t="s">
        <v>633</v>
      </c>
      <c r="B599">
        <v>24</v>
      </c>
      <c r="C599" t="s">
        <v>5</v>
      </c>
      <c r="D599">
        <v>81.73</v>
      </c>
      <c r="E599">
        <v>4</v>
      </c>
      <c r="F599">
        <v>5.61</v>
      </c>
      <c r="G599">
        <v>32.630000000000003</v>
      </c>
      <c r="H599">
        <v>52.17</v>
      </c>
      <c r="I599">
        <v>17</v>
      </c>
      <c r="J599">
        <v>3</v>
      </c>
      <c r="K599">
        <f>(StudentData[[#This Row],[Midterm_Grade]]*40%)+(StudentData[[#This Row],[Final_Grade]]*60%)</f>
        <v>44.353999999999999</v>
      </c>
      <c r="L599">
        <f>StudentData[[#This Row],[Attendance_Percentage]]*40%+StudentData[[#This Row],[Assignments_Completed]]*2+StudentData[[#This Row],[Class_Participation]]*2+StudentData[[#This Row],[Projects_Submitted]]*4</f>
        <v>63.911999999999999</v>
      </c>
      <c r="M599">
        <f>StudentData[[#This Row],[Academic_Score]]*60%+StudentData[[#This Row],[Engagement_Score]]*30%+MIN(StudentData[[#This Row],[Study_Hours_per_Week]],20)/20*100*10%</f>
        <v>54.286000000000001</v>
      </c>
      <c r="N599" s="3" t="str" cm="1">
        <f t="array" ref="N59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599" s="3" t="str">
        <f t="shared" si="18"/>
        <v>Medium Risk</v>
      </c>
      <c r="P599" s="3" t="str">
        <f t="shared" si="19"/>
        <v>24-25</v>
      </c>
    </row>
    <row r="600" spans="1:16">
      <c r="A600" t="s">
        <v>634</v>
      </c>
      <c r="B600">
        <v>21</v>
      </c>
      <c r="C600" t="s">
        <v>4</v>
      </c>
      <c r="D600">
        <v>89.9</v>
      </c>
      <c r="E600">
        <v>5</v>
      </c>
      <c r="F600">
        <v>2.46</v>
      </c>
      <c r="G600">
        <v>2.08</v>
      </c>
      <c r="H600">
        <v>21.32</v>
      </c>
      <c r="I600">
        <v>0</v>
      </c>
      <c r="J600">
        <v>4</v>
      </c>
      <c r="K600">
        <f>(StudentData[[#This Row],[Midterm_Grade]]*40%)+(StudentData[[#This Row],[Final_Grade]]*60%)</f>
        <v>13.624000000000001</v>
      </c>
      <c r="L600">
        <f>StudentData[[#This Row],[Attendance_Percentage]]*40%+StudentData[[#This Row],[Assignments_Completed]]*2+StudentData[[#This Row],[Class_Participation]]*2+StudentData[[#This Row],[Projects_Submitted]]*4</f>
        <v>66.88</v>
      </c>
      <c r="M600">
        <f>StudentData[[#This Row],[Academic_Score]]*60%+StudentData[[#This Row],[Engagement_Score]]*30%+MIN(StudentData[[#This Row],[Study_Hours_per_Week]],20)/20*100*10%</f>
        <v>28.238399999999999</v>
      </c>
      <c r="N600" s="3" t="str" cm="1">
        <f t="array" ref="N60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00" s="3" t="str">
        <f t="shared" si="18"/>
        <v>Medium Risk</v>
      </c>
      <c r="P600" s="3" t="str">
        <f t="shared" si="19"/>
        <v>21-23</v>
      </c>
    </row>
    <row r="601" spans="1:16">
      <c r="A601" t="s">
        <v>635</v>
      </c>
      <c r="B601">
        <v>23</v>
      </c>
      <c r="C601" t="s">
        <v>5</v>
      </c>
      <c r="D601">
        <v>69.8</v>
      </c>
      <c r="E601">
        <v>4</v>
      </c>
      <c r="F601">
        <v>4.24</v>
      </c>
      <c r="G601">
        <v>76.09</v>
      </c>
      <c r="H601">
        <v>78.17</v>
      </c>
      <c r="I601">
        <v>0</v>
      </c>
      <c r="J601">
        <v>2</v>
      </c>
      <c r="K601">
        <f>(StudentData[[#This Row],[Midterm_Grade]]*40%)+(StudentData[[#This Row],[Final_Grade]]*60%)</f>
        <v>77.338000000000008</v>
      </c>
      <c r="L601">
        <f>StudentData[[#This Row],[Attendance_Percentage]]*40%+StudentData[[#This Row],[Assignments_Completed]]*2+StudentData[[#This Row],[Class_Participation]]*2+StudentData[[#This Row],[Projects_Submitted]]*4</f>
        <v>52.400000000000006</v>
      </c>
      <c r="M601">
        <f>StudentData[[#This Row],[Academic_Score]]*60%+StudentData[[#This Row],[Engagement_Score]]*30%+MIN(StudentData[[#This Row],[Study_Hours_per_Week]],20)/20*100*10%</f>
        <v>62.122800000000005</v>
      </c>
      <c r="N601" s="3" t="str" cm="1">
        <f t="array" ref="N601">_xlfn.IFS(StudentData[[#This Row],[Success_Score]]&gt;=85,"Exceptional",StudentData[[#This Row],[Success_Score]]&gt;=70,"Strong",StudentData[[#This Row],[Success_Score]]&gt;=55,"Developing",TRUE,"Needs Improvement")</f>
        <v>Developing</v>
      </c>
      <c r="O601" s="3" t="str">
        <f t="shared" si="18"/>
        <v>Medium Risk</v>
      </c>
      <c r="P601" s="3" t="str">
        <f t="shared" si="19"/>
        <v>21-23</v>
      </c>
    </row>
    <row r="602" spans="1:16">
      <c r="A602" t="s">
        <v>636</v>
      </c>
      <c r="B602">
        <v>22</v>
      </c>
      <c r="C602" t="s">
        <v>5</v>
      </c>
      <c r="D602">
        <v>95.75</v>
      </c>
      <c r="E602">
        <v>7</v>
      </c>
      <c r="F602">
        <v>7.94</v>
      </c>
      <c r="G602">
        <v>4.2699999999999996</v>
      </c>
      <c r="H602">
        <v>20.38</v>
      </c>
      <c r="I602">
        <v>13</v>
      </c>
      <c r="J602">
        <v>0</v>
      </c>
      <c r="K602">
        <f>(StudentData[[#This Row],[Midterm_Grade]]*40%)+(StudentData[[#This Row],[Final_Grade]]*60%)</f>
        <v>13.936</v>
      </c>
      <c r="L602">
        <f>StudentData[[#This Row],[Attendance_Percentage]]*40%+StudentData[[#This Row],[Assignments_Completed]]*2+StudentData[[#This Row],[Class_Participation]]*2+StudentData[[#This Row],[Projects_Submitted]]*4</f>
        <v>68.180000000000007</v>
      </c>
      <c r="M602">
        <f>StudentData[[#This Row],[Academic_Score]]*60%+StudentData[[#This Row],[Engagement_Score]]*30%+MIN(StudentData[[#This Row],[Study_Hours_per_Week]],20)/20*100*10%</f>
        <v>35.315600000000003</v>
      </c>
      <c r="N602" s="3" t="str" cm="1">
        <f t="array" ref="N60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02" s="3" t="str">
        <f t="shared" si="18"/>
        <v>Medium Risk</v>
      </c>
      <c r="P602" s="3" t="str">
        <f t="shared" si="19"/>
        <v>21-23</v>
      </c>
    </row>
    <row r="603" spans="1:16">
      <c r="A603" t="s">
        <v>637</v>
      </c>
      <c r="B603">
        <v>25</v>
      </c>
      <c r="C603" t="s">
        <v>6</v>
      </c>
      <c r="D603">
        <v>76.650000000000006</v>
      </c>
      <c r="E603">
        <v>0</v>
      </c>
      <c r="F603">
        <v>0.32</v>
      </c>
      <c r="G603">
        <v>86.47</v>
      </c>
      <c r="H603">
        <v>26.07</v>
      </c>
      <c r="I603">
        <v>3</v>
      </c>
      <c r="J603">
        <v>2</v>
      </c>
      <c r="K603">
        <f>(StudentData[[#This Row],[Midterm_Grade]]*40%)+(StudentData[[#This Row],[Final_Grade]]*60%)</f>
        <v>50.230000000000004</v>
      </c>
      <c r="L603">
        <f>StudentData[[#This Row],[Attendance_Percentage]]*40%+StudentData[[#This Row],[Assignments_Completed]]*2+StudentData[[#This Row],[Class_Participation]]*2+StudentData[[#This Row],[Projects_Submitted]]*4</f>
        <v>39.300000000000004</v>
      </c>
      <c r="M603">
        <f>StudentData[[#This Row],[Academic_Score]]*60%+StudentData[[#This Row],[Engagement_Score]]*30%+MIN(StudentData[[#This Row],[Study_Hours_per_Week]],20)/20*100*10%</f>
        <v>43.428000000000004</v>
      </c>
      <c r="N603" s="3" t="str" cm="1">
        <f t="array" ref="N60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03" s="3" t="str">
        <f t="shared" si="18"/>
        <v>Medium Risk</v>
      </c>
      <c r="P603" s="3" t="str">
        <f t="shared" si="19"/>
        <v>24-25</v>
      </c>
    </row>
    <row r="604" spans="1:16">
      <c r="A604" t="s">
        <v>638</v>
      </c>
      <c r="B604">
        <v>21</v>
      </c>
      <c r="C604" t="s">
        <v>4</v>
      </c>
      <c r="D604">
        <v>57.9</v>
      </c>
      <c r="E604">
        <v>10</v>
      </c>
      <c r="F604">
        <v>7.82</v>
      </c>
      <c r="G604">
        <v>11.87</v>
      </c>
      <c r="H604">
        <v>9.25</v>
      </c>
      <c r="I604">
        <v>4</v>
      </c>
      <c r="J604">
        <v>4</v>
      </c>
      <c r="K604">
        <f>(StudentData[[#This Row],[Midterm_Grade]]*40%)+(StudentData[[#This Row],[Final_Grade]]*60%)</f>
        <v>10.298</v>
      </c>
      <c r="L604">
        <f>StudentData[[#This Row],[Attendance_Percentage]]*40%+StudentData[[#This Row],[Assignments_Completed]]*2+StudentData[[#This Row],[Class_Participation]]*2+StudentData[[#This Row],[Projects_Submitted]]*4</f>
        <v>74.8</v>
      </c>
      <c r="M604">
        <f>StudentData[[#This Row],[Academic_Score]]*60%+StudentData[[#This Row],[Engagement_Score]]*30%+MIN(StudentData[[#This Row],[Study_Hours_per_Week]],20)/20*100*10%</f>
        <v>30.618799999999997</v>
      </c>
      <c r="N604" s="3" t="str" cm="1">
        <f t="array" ref="N60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04" s="3" t="str">
        <f t="shared" si="18"/>
        <v>High Risk</v>
      </c>
      <c r="P604" s="3" t="str">
        <f t="shared" si="19"/>
        <v>21-23</v>
      </c>
    </row>
    <row r="605" spans="1:16">
      <c r="A605" t="s">
        <v>639</v>
      </c>
      <c r="B605">
        <v>23</v>
      </c>
      <c r="C605" t="s">
        <v>6</v>
      </c>
      <c r="D605">
        <v>84.79</v>
      </c>
      <c r="E605">
        <v>6</v>
      </c>
      <c r="F605">
        <v>2.4</v>
      </c>
      <c r="G605">
        <v>17.190000000000001</v>
      </c>
      <c r="H605">
        <v>39.94</v>
      </c>
      <c r="I605">
        <v>10</v>
      </c>
      <c r="J605">
        <v>5</v>
      </c>
      <c r="K605">
        <f>(StudentData[[#This Row],[Midterm_Grade]]*40%)+(StudentData[[#This Row],[Final_Grade]]*60%)</f>
        <v>30.84</v>
      </c>
      <c r="L605">
        <f>StudentData[[#This Row],[Attendance_Percentage]]*40%+StudentData[[#This Row],[Assignments_Completed]]*2+StudentData[[#This Row],[Class_Participation]]*2+StudentData[[#This Row],[Projects_Submitted]]*4</f>
        <v>70.716000000000008</v>
      </c>
      <c r="M605">
        <f>StudentData[[#This Row],[Academic_Score]]*60%+StudentData[[#This Row],[Engagement_Score]]*30%+MIN(StudentData[[#This Row],[Study_Hours_per_Week]],20)/20*100*10%</f>
        <v>44.718800000000002</v>
      </c>
      <c r="N605" s="3" t="str" cm="1">
        <f t="array" ref="N60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05" s="3" t="str">
        <f t="shared" si="18"/>
        <v>Medium Risk</v>
      </c>
      <c r="P605" s="3" t="str">
        <f t="shared" si="19"/>
        <v>21-23</v>
      </c>
    </row>
    <row r="606" spans="1:16">
      <c r="A606" t="s">
        <v>640</v>
      </c>
      <c r="B606">
        <v>24</v>
      </c>
      <c r="C606" t="s">
        <v>6</v>
      </c>
      <c r="D606">
        <v>89.66</v>
      </c>
      <c r="E606">
        <v>9</v>
      </c>
      <c r="F606">
        <v>1.44</v>
      </c>
      <c r="G606">
        <v>47.65</v>
      </c>
      <c r="H606">
        <v>41.89</v>
      </c>
      <c r="I606">
        <v>12</v>
      </c>
      <c r="J606">
        <v>5</v>
      </c>
      <c r="K606">
        <f>(StudentData[[#This Row],[Midterm_Grade]]*40%)+(StudentData[[#This Row],[Final_Grade]]*60%)</f>
        <v>44.194000000000003</v>
      </c>
      <c r="L606">
        <f>StudentData[[#This Row],[Attendance_Percentage]]*40%+StudentData[[#This Row],[Assignments_Completed]]*2+StudentData[[#This Row],[Class_Participation]]*2+StudentData[[#This Row],[Projects_Submitted]]*4</f>
        <v>76.744</v>
      </c>
      <c r="M606">
        <f>StudentData[[#This Row],[Academic_Score]]*60%+StudentData[[#This Row],[Engagement_Score]]*30%+MIN(StudentData[[#This Row],[Study_Hours_per_Week]],20)/20*100*10%</f>
        <v>55.5396</v>
      </c>
      <c r="N606" s="3" t="str" cm="1">
        <f t="array" ref="N606">_xlfn.IFS(StudentData[[#This Row],[Success_Score]]&gt;=85,"Exceptional",StudentData[[#This Row],[Success_Score]]&gt;=70,"Strong",StudentData[[#This Row],[Success_Score]]&gt;=55,"Developing",TRUE,"Needs Improvement")</f>
        <v>Developing</v>
      </c>
      <c r="O606" s="3" t="str">
        <f t="shared" si="18"/>
        <v>Medium Risk</v>
      </c>
      <c r="P606" s="3" t="str">
        <f t="shared" si="19"/>
        <v>24-25</v>
      </c>
    </row>
    <row r="607" spans="1:16">
      <c r="A607" t="s">
        <v>641</v>
      </c>
      <c r="B607">
        <v>20</v>
      </c>
      <c r="C607" t="s">
        <v>5</v>
      </c>
      <c r="D607">
        <v>65.84</v>
      </c>
      <c r="E607">
        <v>9</v>
      </c>
      <c r="F607">
        <v>1.1599999999999999</v>
      </c>
      <c r="G607">
        <v>73.790000000000006</v>
      </c>
      <c r="H607">
        <v>51.46</v>
      </c>
      <c r="I607">
        <v>15</v>
      </c>
      <c r="J607">
        <v>1</v>
      </c>
      <c r="K607">
        <f>(StudentData[[#This Row],[Midterm_Grade]]*40%)+(StudentData[[#This Row],[Final_Grade]]*60%)</f>
        <v>60.392000000000003</v>
      </c>
      <c r="L607">
        <f>StudentData[[#This Row],[Attendance_Percentage]]*40%+StudentData[[#This Row],[Assignments_Completed]]*2+StudentData[[#This Row],[Class_Participation]]*2+StudentData[[#This Row],[Projects_Submitted]]*4</f>
        <v>50.655999999999999</v>
      </c>
      <c r="M607">
        <f>StudentData[[#This Row],[Academic_Score]]*60%+StudentData[[#This Row],[Engagement_Score]]*30%+MIN(StudentData[[#This Row],[Study_Hours_per_Week]],20)/20*100*10%</f>
        <v>58.932000000000002</v>
      </c>
      <c r="N607" s="3" t="str" cm="1">
        <f t="array" ref="N607">_xlfn.IFS(StudentData[[#This Row],[Success_Score]]&gt;=85,"Exceptional",StudentData[[#This Row],[Success_Score]]&gt;=70,"Strong",StudentData[[#This Row],[Success_Score]]&gt;=55,"Developing",TRUE,"Needs Improvement")</f>
        <v>Developing</v>
      </c>
      <c r="O607" s="3" t="str">
        <f t="shared" si="18"/>
        <v>Medium Risk</v>
      </c>
      <c r="P607" s="3" t="str">
        <f t="shared" si="19"/>
        <v>18-20</v>
      </c>
    </row>
    <row r="608" spans="1:16">
      <c r="A608" t="s">
        <v>642</v>
      </c>
      <c r="B608">
        <v>24</v>
      </c>
      <c r="C608" t="s">
        <v>5</v>
      </c>
      <c r="D608">
        <v>92.86</v>
      </c>
      <c r="E608">
        <v>10</v>
      </c>
      <c r="F608">
        <v>0.27</v>
      </c>
      <c r="G608">
        <v>13.9</v>
      </c>
      <c r="H608">
        <v>70.900000000000006</v>
      </c>
      <c r="I608">
        <v>12</v>
      </c>
      <c r="J608">
        <v>4</v>
      </c>
      <c r="K608">
        <f>(StudentData[[#This Row],[Midterm_Grade]]*40%)+(StudentData[[#This Row],[Final_Grade]]*60%)</f>
        <v>48.1</v>
      </c>
      <c r="L608">
        <f>StudentData[[#This Row],[Attendance_Percentage]]*40%+StudentData[[#This Row],[Assignments_Completed]]*2+StudentData[[#This Row],[Class_Participation]]*2+StudentData[[#This Row],[Projects_Submitted]]*4</f>
        <v>73.683999999999997</v>
      </c>
      <c r="M608">
        <f>StudentData[[#This Row],[Academic_Score]]*60%+StudentData[[#This Row],[Engagement_Score]]*30%+MIN(StudentData[[#This Row],[Study_Hours_per_Week]],20)/20*100*10%</f>
        <v>56.965199999999996</v>
      </c>
      <c r="N608" s="3" t="str" cm="1">
        <f t="array" ref="N608">_xlfn.IFS(StudentData[[#This Row],[Success_Score]]&gt;=85,"Exceptional",StudentData[[#This Row],[Success_Score]]&gt;=70,"Strong",StudentData[[#This Row],[Success_Score]]&gt;=55,"Developing",TRUE,"Needs Improvement")</f>
        <v>Developing</v>
      </c>
      <c r="O608" s="3" t="str">
        <f t="shared" si="18"/>
        <v>Medium Risk</v>
      </c>
      <c r="P608" s="3" t="str">
        <f t="shared" si="19"/>
        <v>24-25</v>
      </c>
    </row>
    <row r="609" spans="1:16">
      <c r="A609" t="s">
        <v>643</v>
      </c>
      <c r="B609">
        <v>25</v>
      </c>
      <c r="C609" t="s">
        <v>4</v>
      </c>
      <c r="D609">
        <v>95.31</v>
      </c>
      <c r="E609">
        <v>1</v>
      </c>
      <c r="F609">
        <v>5.24</v>
      </c>
      <c r="G609">
        <v>44.01</v>
      </c>
      <c r="H609">
        <v>90.61</v>
      </c>
      <c r="I609">
        <v>1</v>
      </c>
      <c r="J609">
        <v>1</v>
      </c>
      <c r="K609">
        <f>(StudentData[[#This Row],[Midterm_Grade]]*40%)+(StudentData[[#This Row],[Final_Grade]]*60%)</f>
        <v>71.97</v>
      </c>
      <c r="L609">
        <f>StudentData[[#This Row],[Attendance_Percentage]]*40%+StudentData[[#This Row],[Assignments_Completed]]*2+StudentData[[#This Row],[Class_Participation]]*2+StudentData[[#This Row],[Projects_Submitted]]*4</f>
        <v>54.603999999999999</v>
      </c>
      <c r="M609">
        <f>StudentData[[#This Row],[Academic_Score]]*60%+StudentData[[#This Row],[Engagement_Score]]*30%+MIN(StudentData[[#This Row],[Study_Hours_per_Week]],20)/20*100*10%</f>
        <v>60.063199999999995</v>
      </c>
      <c r="N609" s="3" t="str" cm="1">
        <f t="array" ref="N609">_xlfn.IFS(StudentData[[#This Row],[Success_Score]]&gt;=85,"Exceptional",StudentData[[#This Row],[Success_Score]]&gt;=70,"Strong",StudentData[[#This Row],[Success_Score]]&gt;=55,"Developing",TRUE,"Needs Improvement")</f>
        <v>Developing</v>
      </c>
      <c r="O609" s="3" t="str">
        <f t="shared" si="18"/>
        <v>Low Risk</v>
      </c>
      <c r="P609" s="3" t="str">
        <f t="shared" si="19"/>
        <v>24-25</v>
      </c>
    </row>
    <row r="610" spans="1:16">
      <c r="A610" t="s">
        <v>644</v>
      </c>
      <c r="B610">
        <v>21</v>
      </c>
      <c r="C610" t="s">
        <v>4</v>
      </c>
      <c r="D610">
        <v>63.85</v>
      </c>
      <c r="E610">
        <v>8</v>
      </c>
      <c r="F610">
        <v>2.1800000000000002</v>
      </c>
      <c r="G610">
        <v>48.29</v>
      </c>
      <c r="H610">
        <v>13.77</v>
      </c>
      <c r="I610">
        <v>15</v>
      </c>
      <c r="J610">
        <v>1</v>
      </c>
      <c r="K610">
        <f>(StudentData[[#This Row],[Midterm_Grade]]*40%)+(StudentData[[#This Row],[Final_Grade]]*60%)</f>
        <v>27.578000000000003</v>
      </c>
      <c r="L610">
        <f>StudentData[[#This Row],[Attendance_Percentage]]*40%+StudentData[[#This Row],[Assignments_Completed]]*2+StudentData[[#This Row],[Class_Participation]]*2+StudentData[[#This Row],[Projects_Submitted]]*4</f>
        <v>49.900000000000006</v>
      </c>
      <c r="M610">
        <f>StudentData[[#This Row],[Academic_Score]]*60%+StudentData[[#This Row],[Engagement_Score]]*30%+MIN(StudentData[[#This Row],[Study_Hours_per_Week]],20)/20*100*10%</f>
        <v>39.016800000000003</v>
      </c>
      <c r="N610" s="3" t="str" cm="1">
        <f t="array" ref="N61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10" s="3" t="str">
        <f t="shared" si="18"/>
        <v>Medium Risk</v>
      </c>
      <c r="P610" s="3" t="str">
        <f t="shared" si="19"/>
        <v>21-23</v>
      </c>
    </row>
    <row r="611" spans="1:16">
      <c r="A611" t="s">
        <v>645</v>
      </c>
      <c r="B611">
        <v>25</v>
      </c>
      <c r="C611" t="s">
        <v>5</v>
      </c>
      <c r="D611">
        <v>99.18</v>
      </c>
      <c r="E611">
        <v>0</v>
      </c>
      <c r="F611">
        <v>9.89</v>
      </c>
      <c r="G611">
        <v>21.23</v>
      </c>
      <c r="H611">
        <v>5.43</v>
      </c>
      <c r="I611">
        <v>5</v>
      </c>
      <c r="J611">
        <v>1</v>
      </c>
      <c r="K611">
        <f>(StudentData[[#This Row],[Midterm_Grade]]*40%)+(StudentData[[#This Row],[Final_Grade]]*60%)</f>
        <v>11.75</v>
      </c>
      <c r="L611">
        <f>StudentData[[#This Row],[Attendance_Percentage]]*40%+StudentData[[#This Row],[Assignments_Completed]]*2+StudentData[[#This Row],[Class_Participation]]*2+StudentData[[#This Row],[Projects_Submitted]]*4</f>
        <v>63.452000000000005</v>
      </c>
      <c r="M611">
        <f>StudentData[[#This Row],[Academic_Score]]*60%+StudentData[[#This Row],[Engagement_Score]]*30%+MIN(StudentData[[#This Row],[Study_Hours_per_Week]],20)/20*100*10%</f>
        <v>28.585600000000003</v>
      </c>
      <c r="N611" s="3" t="str" cm="1">
        <f t="array" ref="N61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11" s="3" t="str">
        <f t="shared" si="18"/>
        <v>Medium Risk</v>
      </c>
      <c r="P611" s="3" t="str">
        <f t="shared" si="19"/>
        <v>24-25</v>
      </c>
    </row>
    <row r="612" spans="1:16">
      <c r="A612" t="s">
        <v>646</v>
      </c>
      <c r="B612">
        <v>22</v>
      </c>
      <c r="C612" t="s">
        <v>4</v>
      </c>
      <c r="D612">
        <v>57.04</v>
      </c>
      <c r="E612">
        <v>10</v>
      </c>
      <c r="F612">
        <v>5.74</v>
      </c>
      <c r="G612">
        <v>11.56</v>
      </c>
      <c r="H612">
        <v>1.85</v>
      </c>
      <c r="I612">
        <v>13</v>
      </c>
      <c r="J612">
        <v>2</v>
      </c>
      <c r="K612">
        <f>(StudentData[[#This Row],[Midterm_Grade]]*40%)+(StudentData[[#This Row],[Final_Grade]]*60%)</f>
        <v>5.7340000000000009</v>
      </c>
      <c r="L612">
        <f>StudentData[[#This Row],[Attendance_Percentage]]*40%+StudentData[[#This Row],[Assignments_Completed]]*2+StudentData[[#This Row],[Class_Participation]]*2+StudentData[[#This Row],[Projects_Submitted]]*4</f>
        <v>62.296000000000006</v>
      </c>
      <c r="M612">
        <f>StudentData[[#This Row],[Academic_Score]]*60%+StudentData[[#This Row],[Engagement_Score]]*30%+MIN(StudentData[[#This Row],[Study_Hours_per_Week]],20)/20*100*10%</f>
        <v>28.629200000000001</v>
      </c>
      <c r="N612" s="3" t="str" cm="1">
        <f t="array" ref="N61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12" s="3" t="str">
        <f t="shared" si="18"/>
        <v>High Risk</v>
      </c>
      <c r="P612" s="3" t="str">
        <f t="shared" si="19"/>
        <v>21-23</v>
      </c>
    </row>
    <row r="613" spans="1:16">
      <c r="A613" t="s">
        <v>647</v>
      </c>
      <c r="B613">
        <v>19</v>
      </c>
      <c r="C613" t="s">
        <v>5</v>
      </c>
      <c r="D613">
        <v>60.1</v>
      </c>
      <c r="E613">
        <v>9</v>
      </c>
      <c r="F613">
        <v>1.38</v>
      </c>
      <c r="G613">
        <v>83.64</v>
      </c>
      <c r="H613">
        <v>14.36</v>
      </c>
      <c r="I613">
        <v>0</v>
      </c>
      <c r="J613">
        <v>0</v>
      </c>
      <c r="K613">
        <f>(StudentData[[#This Row],[Midterm_Grade]]*40%)+(StudentData[[#This Row],[Final_Grade]]*60%)</f>
        <v>42.072000000000003</v>
      </c>
      <c r="L613">
        <f>StudentData[[#This Row],[Attendance_Percentage]]*40%+StudentData[[#This Row],[Assignments_Completed]]*2+StudentData[[#This Row],[Class_Participation]]*2+StudentData[[#This Row],[Projects_Submitted]]*4</f>
        <v>44.800000000000004</v>
      </c>
      <c r="M613">
        <f>StudentData[[#This Row],[Academic_Score]]*60%+StudentData[[#This Row],[Engagement_Score]]*30%+MIN(StudentData[[#This Row],[Study_Hours_per_Week]],20)/20*100*10%</f>
        <v>38.683199999999999</v>
      </c>
      <c r="N613" s="3" t="str" cm="1">
        <f t="array" ref="N61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13" s="3" t="str">
        <f t="shared" si="18"/>
        <v>Medium Risk</v>
      </c>
      <c r="P613" s="3" t="str">
        <f t="shared" si="19"/>
        <v>18-20</v>
      </c>
    </row>
    <row r="614" spans="1:16">
      <c r="A614" t="s">
        <v>648</v>
      </c>
      <c r="B614">
        <v>21</v>
      </c>
      <c r="C614" t="s">
        <v>5</v>
      </c>
      <c r="D614">
        <v>59.21</v>
      </c>
      <c r="E614">
        <v>5</v>
      </c>
      <c r="F614">
        <v>6.89</v>
      </c>
      <c r="G614">
        <v>50.25</v>
      </c>
      <c r="H614">
        <v>65.790000000000006</v>
      </c>
      <c r="I614">
        <v>16</v>
      </c>
      <c r="J614">
        <v>5</v>
      </c>
      <c r="K614">
        <f>(StudentData[[#This Row],[Midterm_Grade]]*40%)+(StudentData[[#This Row],[Final_Grade]]*60%)</f>
        <v>59.574000000000005</v>
      </c>
      <c r="L614">
        <f>StudentData[[#This Row],[Attendance_Percentage]]*40%+StudentData[[#This Row],[Assignments_Completed]]*2+StudentData[[#This Row],[Class_Participation]]*2+StudentData[[#This Row],[Projects_Submitted]]*4</f>
        <v>67.463999999999999</v>
      </c>
      <c r="M614">
        <f>StudentData[[#This Row],[Academic_Score]]*60%+StudentData[[#This Row],[Engagement_Score]]*30%+MIN(StudentData[[#This Row],[Study_Hours_per_Week]],20)/20*100*10%</f>
        <v>63.983599999999996</v>
      </c>
      <c r="N614" s="3" t="str" cm="1">
        <f t="array" ref="N614">_xlfn.IFS(StudentData[[#This Row],[Success_Score]]&gt;=85,"Exceptional",StudentData[[#This Row],[Success_Score]]&gt;=70,"Strong",StudentData[[#This Row],[Success_Score]]&gt;=55,"Developing",TRUE,"Needs Improvement")</f>
        <v>Developing</v>
      </c>
      <c r="O614" s="3" t="str">
        <f t="shared" si="18"/>
        <v>Medium Risk</v>
      </c>
      <c r="P614" s="3" t="str">
        <f t="shared" si="19"/>
        <v>21-23</v>
      </c>
    </row>
    <row r="615" spans="1:16">
      <c r="A615" t="s">
        <v>649</v>
      </c>
      <c r="B615">
        <v>19</v>
      </c>
      <c r="C615" t="s">
        <v>4</v>
      </c>
      <c r="D615">
        <v>94.7</v>
      </c>
      <c r="E615">
        <v>8</v>
      </c>
      <c r="F615">
        <v>8.98</v>
      </c>
      <c r="G615">
        <v>1.44</v>
      </c>
      <c r="H615">
        <v>72.75</v>
      </c>
      <c r="I615">
        <v>10</v>
      </c>
      <c r="J615">
        <v>2</v>
      </c>
      <c r="K615">
        <f>(StudentData[[#This Row],[Midterm_Grade]]*40%)+(StudentData[[#This Row],[Final_Grade]]*60%)</f>
        <v>44.225999999999999</v>
      </c>
      <c r="L615">
        <f>StudentData[[#This Row],[Attendance_Percentage]]*40%+StudentData[[#This Row],[Assignments_Completed]]*2+StudentData[[#This Row],[Class_Participation]]*2+StudentData[[#This Row],[Projects_Submitted]]*4</f>
        <v>79.84</v>
      </c>
      <c r="M615">
        <f>StudentData[[#This Row],[Academic_Score]]*60%+StudentData[[#This Row],[Engagement_Score]]*30%+MIN(StudentData[[#This Row],[Study_Hours_per_Week]],20)/20*100*10%</f>
        <v>55.4876</v>
      </c>
      <c r="N615" s="3" t="str" cm="1">
        <f t="array" ref="N615">_xlfn.IFS(StudentData[[#This Row],[Success_Score]]&gt;=85,"Exceptional",StudentData[[#This Row],[Success_Score]]&gt;=70,"Strong",StudentData[[#This Row],[Success_Score]]&gt;=55,"Developing",TRUE,"Needs Improvement")</f>
        <v>Developing</v>
      </c>
      <c r="O615" s="3" t="str">
        <f t="shared" si="18"/>
        <v>Medium Risk</v>
      </c>
      <c r="P615" s="3" t="str">
        <f t="shared" si="19"/>
        <v>18-20</v>
      </c>
    </row>
    <row r="616" spans="1:16">
      <c r="A616" t="s">
        <v>650</v>
      </c>
      <c r="B616">
        <v>23</v>
      </c>
      <c r="C616" t="s">
        <v>4</v>
      </c>
      <c r="D616">
        <v>82.71</v>
      </c>
      <c r="E616">
        <v>0</v>
      </c>
      <c r="F616">
        <v>7.45</v>
      </c>
      <c r="G616">
        <v>80.3</v>
      </c>
      <c r="H616">
        <v>78.650000000000006</v>
      </c>
      <c r="I616">
        <v>18</v>
      </c>
      <c r="J616">
        <v>0</v>
      </c>
      <c r="K616">
        <f>(StudentData[[#This Row],[Midterm_Grade]]*40%)+(StudentData[[#This Row],[Final_Grade]]*60%)</f>
        <v>79.31</v>
      </c>
      <c r="L616">
        <f>StudentData[[#This Row],[Attendance_Percentage]]*40%+StudentData[[#This Row],[Assignments_Completed]]*2+StudentData[[#This Row],[Class_Participation]]*2+StudentData[[#This Row],[Projects_Submitted]]*4</f>
        <v>47.983999999999995</v>
      </c>
      <c r="M616">
        <f>StudentData[[#This Row],[Academic_Score]]*60%+StudentData[[#This Row],[Engagement_Score]]*30%+MIN(StudentData[[#This Row],[Study_Hours_per_Week]],20)/20*100*10%</f>
        <v>70.981200000000001</v>
      </c>
      <c r="N616" s="3" t="str" cm="1">
        <f t="array" ref="N616">_xlfn.IFS(StudentData[[#This Row],[Success_Score]]&gt;=85,"Exceptional",StudentData[[#This Row],[Success_Score]]&gt;=70,"Strong",StudentData[[#This Row],[Success_Score]]&gt;=55,"Developing",TRUE,"Needs Improvement")</f>
        <v>Strong</v>
      </c>
      <c r="O616" s="3" t="str">
        <f t="shared" si="18"/>
        <v>Low Risk</v>
      </c>
      <c r="P616" s="3" t="str">
        <f t="shared" si="19"/>
        <v>21-23</v>
      </c>
    </row>
    <row r="617" spans="1:16">
      <c r="A617" t="s">
        <v>651</v>
      </c>
      <c r="B617">
        <v>20</v>
      </c>
      <c r="C617" t="s">
        <v>4</v>
      </c>
      <c r="D617">
        <v>57.61</v>
      </c>
      <c r="E617">
        <v>3</v>
      </c>
      <c r="F617">
        <v>0.76</v>
      </c>
      <c r="G617">
        <v>98.08</v>
      </c>
      <c r="H617">
        <v>24.37</v>
      </c>
      <c r="I617">
        <v>2</v>
      </c>
      <c r="J617">
        <v>5</v>
      </c>
      <c r="K617">
        <f>(StudentData[[#This Row],[Midterm_Grade]]*40%)+(StudentData[[#This Row],[Final_Grade]]*60%)</f>
        <v>53.853999999999999</v>
      </c>
      <c r="L617">
        <f>StudentData[[#This Row],[Attendance_Percentage]]*40%+StudentData[[#This Row],[Assignments_Completed]]*2+StudentData[[#This Row],[Class_Participation]]*2+StudentData[[#This Row],[Projects_Submitted]]*4</f>
        <v>50.564</v>
      </c>
      <c r="M617">
        <f>StudentData[[#This Row],[Academic_Score]]*60%+StudentData[[#This Row],[Engagement_Score]]*30%+MIN(StudentData[[#This Row],[Study_Hours_per_Week]],20)/20*100*10%</f>
        <v>48.4816</v>
      </c>
      <c r="N617" s="3" t="str" cm="1">
        <f t="array" ref="N61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17" s="3" t="str">
        <f t="shared" si="18"/>
        <v>Medium Risk</v>
      </c>
      <c r="P617" s="3" t="str">
        <f t="shared" si="19"/>
        <v>18-20</v>
      </c>
    </row>
    <row r="618" spans="1:16">
      <c r="A618" t="s">
        <v>652</v>
      </c>
      <c r="B618">
        <v>18</v>
      </c>
      <c r="C618" t="s">
        <v>5</v>
      </c>
      <c r="D618">
        <v>72.02</v>
      </c>
      <c r="E618">
        <v>3</v>
      </c>
      <c r="F618">
        <v>8.9600000000000009</v>
      </c>
      <c r="G618">
        <v>60.59</v>
      </c>
      <c r="H618">
        <v>30.59</v>
      </c>
      <c r="I618">
        <v>10</v>
      </c>
      <c r="J618">
        <v>4</v>
      </c>
      <c r="K618">
        <f>(StudentData[[#This Row],[Midterm_Grade]]*40%)+(StudentData[[#This Row],[Final_Grade]]*60%)</f>
        <v>42.59</v>
      </c>
      <c r="L618">
        <f>StudentData[[#This Row],[Attendance_Percentage]]*40%+StudentData[[#This Row],[Assignments_Completed]]*2+StudentData[[#This Row],[Class_Participation]]*2+StudentData[[#This Row],[Projects_Submitted]]*4</f>
        <v>68.728000000000009</v>
      </c>
      <c r="M618">
        <f>StudentData[[#This Row],[Academic_Score]]*60%+StudentData[[#This Row],[Engagement_Score]]*30%+MIN(StudentData[[#This Row],[Study_Hours_per_Week]],20)/20*100*10%</f>
        <v>51.172400000000003</v>
      </c>
      <c r="N618" s="3" t="str" cm="1">
        <f t="array" ref="N61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18" s="3" t="str">
        <f t="shared" si="18"/>
        <v>Medium Risk</v>
      </c>
      <c r="P618" s="3" t="str">
        <f t="shared" si="19"/>
        <v>18-20</v>
      </c>
    </row>
    <row r="619" spans="1:16">
      <c r="A619" t="s">
        <v>653</v>
      </c>
      <c r="B619">
        <v>25</v>
      </c>
      <c r="C619" t="s">
        <v>4</v>
      </c>
      <c r="D619">
        <v>80.760000000000005</v>
      </c>
      <c r="E619">
        <v>8</v>
      </c>
      <c r="F619">
        <v>7.94</v>
      </c>
      <c r="G619">
        <v>50.37</v>
      </c>
      <c r="H619">
        <v>48.31</v>
      </c>
      <c r="I619">
        <v>4</v>
      </c>
      <c r="J619">
        <v>5</v>
      </c>
      <c r="K619">
        <f>(StudentData[[#This Row],[Midterm_Grade]]*40%)+(StudentData[[#This Row],[Final_Grade]]*60%)</f>
        <v>49.134</v>
      </c>
      <c r="L619">
        <f>StudentData[[#This Row],[Attendance_Percentage]]*40%+StudentData[[#This Row],[Assignments_Completed]]*2+StudentData[[#This Row],[Class_Participation]]*2+StudentData[[#This Row],[Projects_Submitted]]*4</f>
        <v>84.183999999999997</v>
      </c>
      <c r="M619">
        <f>StudentData[[#This Row],[Academic_Score]]*60%+StudentData[[#This Row],[Engagement_Score]]*30%+MIN(StudentData[[#This Row],[Study_Hours_per_Week]],20)/20*100*10%</f>
        <v>56.735599999999998</v>
      </c>
      <c r="N619" s="3" t="str" cm="1">
        <f t="array" ref="N619">_xlfn.IFS(StudentData[[#This Row],[Success_Score]]&gt;=85,"Exceptional",StudentData[[#This Row],[Success_Score]]&gt;=70,"Strong",StudentData[[#This Row],[Success_Score]]&gt;=55,"Developing",TRUE,"Needs Improvement")</f>
        <v>Developing</v>
      </c>
      <c r="O619" s="3" t="str">
        <f t="shared" si="18"/>
        <v>Medium Risk</v>
      </c>
      <c r="P619" s="3" t="str">
        <f t="shared" si="19"/>
        <v>24-25</v>
      </c>
    </row>
    <row r="620" spans="1:16">
      <c r="A620" t="s">
        <v>654</v>
      </c>
      <c r="B620">
        <v>24</v>
      </c>
      <c r="C620" t="s">
        <v>5</v>
      </c>
      <c r="D620">
        <v>54.17</v>
      </c>
      <c r="E620">
        <v>10</v>
      </c>
      <c r="F620">
        <v>1.58</v>
      </c>
      <c r="G620">
        <v>87.84</v>
      </c>
      <c r="H620">
        <v>6.32</v>
      </c>
      <c r="I620">
        <v>16</v>
      </c>
      <c r="J620">
        <v>5</v>
      </c>
      <c r="K620">
        <f>(StudentData[[#This Row],[Midterm_Grade]]*40%)+(StudentData[[#This Row],[Final_Grade]]*60%)</f>
        <v>38.928000000000004</v>
      </c>
      <c r="L620">
        <f>StudentData[[#This Row],[Attendance_Percentage]]*40%+StudentData[[#This Row],[Assignments_Completed]]*2+StudentData[[#This Row],[Class_Participation]]*2+StudentData[[#This Row],[Projects_Submitted]]*4</f>
        <v>64.828000000000003</v>
      </c>
      <c r="M620">
        <f>StudentData[[#This Row],[Academic_Score]]*60%+StudentData[[#This Row],[Engagement_Score]]*30%+MIN(StudentData[[#This Row],[Study_Hours_per_Week]],20)/20*100*10%</f>
        <v>50.805199999999999</v>
      </c>
      <c r="N620" s="3" t="str" cm="1">
        <f t="array" ref="N62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20" s="3" t="str">
        <f t="shared" si="18"/>
        <v>High Risk</v>
      </c>
      <c r="P620" s="3" t="str">
        <f t="shared" si="19"/>
        <v>24-25</v>
      </c>
    </row>
    <row r="621" spans="1:16">
      <c r="A621" t="s">
        <v>655</v>
      </c>
      <c r="B621">
        <v>20</v>
      </c>
      <c r="C621" t="s">
        <v>5</v>
      </c>
      <c r="D621">
        <v>94.12</v>
      </c>
      <c r="E621">
        <v>4</v>
      </c>
      <c r="F621">
        <v>0.52</v>
      </c>
      <c r="G621">
        <v>95.25</v>
      </c>
      <c r="H621">
        <v>61.11</v>
      </c>
      <c r="I621">
        <v>6</v>
      </c>
      <c r="J621">
        <v>5</v>
      </c>
      <c r="K621">
        <f>(StudentData[[#This Row],[Midterm_Grade]]*40%)+(StudentData[[#This Row],[Final_Grade]]*60%)</f>
        <v>74.765999999999991</v>
      </c>
      <c r="L621">
        <f>StudentData[[#This Row],[Attendance_Percentage]]*40%+StudentData[[#This Row],[Assignments_Completed]]*2+StudentData[[#This Row],[Class_Participation]]*2+StudentData[[#This Row],[Projects_Submitted]]*4</f>
        <v>66.688000000000002</v>
      </c>
      <c r="M621">
        <f>StudentData[[#This Row],[Academic_Score]]*60%+StudentData[[#This Row],[Engagement_Score]]*30%+MIN(StudentData[[#This Row],[Study_Hours_per_Week]],20)/20*100*10%</f>
        <v>67.865999999999985</v>
      </c>
      <c r="N621" s="3" t="str" cm="1">
        <f t="array" ref="N621">_xlfn.IFS(StudentData[[#This Row],[Success_Score]]&gt;=85,"Exceptional",StudentData[[#This Row],[Success_Score]]&gt;=70,"Strong",StudentData[[#This Row],[Success_Score]]&gt;=55,"Developing",TRUE,"Needs Improvement")</f>
        <v>Developing</v>
      </c>
      <c r="O621" s="3" t="str">
        <f t="shared" si="18"/>
        <v>Low Risk</v>
      </c>
      <c r="P621" s="3" t="str">
        <f t="shared" si="19"/>
        <v>18-20</v>
      </c>
    </row>
    <row r="622" spans="1:16">
      <c r="A622" t="s">
        <v>656</v>
      </c>
      <c r="B622">
        <v>21</v>
      </c>
      <c r="C622" t="s">
        <v>4</v>
      </c>
      <c r="D622">
        <v>90.18</v>
      </c>
      <c r="E622">
        <v>4</v>
      </c>
      <c r="F622">
        <v>5.57</v>
      </c>
      <c r="G622">
        <v>75.45</v>
      </c>
      <c r="H622">
        <v>98.37</v>
      </c>
      <c r="I622">
        <v>9</v>
      </c>
      <c r="J622">
        <v>3</v>
      </c>
      <c r="K622">
        <f>(StudentData[[#This Row],[Midterm_Grade]]*40%)+(StudentData[[#This Row],[Final_Grade]]*60%)</f>
        <v>89.201999999999998</v>
      </c>
      <c r="L622">
        <f>StudentData[[#This Row],[Attendance_Percentage]]*40%+StudentData[[#This Row],[Assignments_Completed]]*2+StudentData[[#This Row],[Class_Participation]]*2+StudentData[[#This Row],[Projects_Submitted]]*4</f>
        <v>67.212000000000003</v>
      </c>
      <c r="M622">
        <f>StudentData[[#This Row],[Academic_Score]]*60%+StudentData[[#This Row],[Engagement_Score]]*30%+MIN(StudentData[[#This Row],[Study_Hours_per_Week]],20)/20*100*10%</f>
        <v>78.184799999999996</v>
      </c>
      <c r="N622" s="3" t="str" cm="1">
        <f t="array" ref="N622">_xlfn.IFS(StudentData[[#This Row],[Success_Score]]&gt;=85,"Exceptional",StudentData[[#This Row],[Success_Score]]&gt;=70,"Strong",StudentData[[#This Row],[Success_Score]]&gt;=55,"Developing",TRUE,"Needs Improvement")</f>
        <v>Strong</v>
      </c>
      <c r="O622" s="3" t="str">
        <f t="shared" si="18"/>
        <v>Low Risk</v>
      </c>
      <c r="P622" s="3" t="str">
        <f t="shared" si="19"/>
        <v>21-23</v>
      </c>
    </row>
    <row r="623" spans="1:16">
      <c r="A623" t="s">
        <v>657</v>
      </c>
      <c r="B623">
        <v>19</v>
      </c>
      <c r="C623" t="s">
        <v>6</v>
      </c>
      <c r="D623">
        <v>75.260000000000005</v>
      </c>
      <c r="E623">
        <v>5</v>
      </c>
      <c r="F623">
        <v>1.56</v>
      </c>
      <c r="G623">
        <v>44.55</v>
      </c>
      <c r="H623">
        <v>36.08</v>
      </c>
      <c r="I623">
        <v>10</v>
      </c>
      <c r="J623">
        <v>4</v>
      </c>
      <c r="K623">
        <f>(StudentData[[#This Row],[Midterm_Grade]]*40%)+(StudentData[[#This Row],[Final_Grade]]*60%)</f>
        <v>39.468000000000004</v>
      </c>
      <c r="L623">
        <f>StudentData[[#This Row],[Attendance_Percentage]]*40%+StudentData[[#This Row],[Assignments_Completed]]*2+StudentData[[#This Row],[Class_Participation]]*2+StudentData[[#This Row],[Projects_Submitted]]*4</f>
        <v>59.223999999999997</v>
      </c>
      <c r="M623">
        <f>StudentData[[#This Row],[Academic_Score]]*60%+StudentData[[#This Row],[Engagement_Score]]*30%+MIN(StudentData[[#This Row],[Study_Hours_per_Week]],20)/20*100*10%</f>
        <v>46.448</v>
      </c>
      <c r="N623" s="3" t="str" cm="1">
        <f t="array" ref="N62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23" s="3" t="str">
        <f t="shared" si="18"/>
        <v>Medium Risk</v>
      </c>
      <c r="P623" s="3" t="str">
        <f t="shared" si="19"/>
        <v>18-20</v>
      </c>
    </row>
    <row r="624" spans="1:16">
      <c r="A624" t="s">
        <v>658</v>
      </c>
      <c r="B624">
        <v>24</v>
      </c>
      <c r="C624" t="s">
        <v>4</v>
      </c>
      <c r="D624">
        <v>98.36</v>
      </c>
      <c r="E624">
        <v>0</v>
      </c>
      <c r="F624">
        <v>8.35</v>
      </c>
      <c r="G624">
        <v>59.22</v>
      </c>
      <c r="H624">
        <v>75.28</v>
      </c>
      <c r="I624">
        <v>2</v>
      </c>
      <c r="J624">
        <v>2</v>
      </c>
      <c r="K624">
        <f>(StudentData[[#This Row],[Midterm_Grade]]*40%)+(StudentData[[#This Row],[Final_Grade]]*60%)</f>
        <v>68.855999999999995</v>
      </c>
      <c r="L624">
        <f>StudentData[[#This Row],[Attendance_Percentage]]*40%+StudentData[[#This Row],[Assignments_Completed]]*2+StudentData[[#This Row],[Class_Participation]]*2+StudentData[[#This Row],[Projects_Submitted]]*4</f>
        <v>64.043999999999997</v>
      </c>
      <c r="M624">
        <f>StudentData[[#This Row],[Academic_Score]]*60%+StudentData[[#This Row],[Engagement_Score]]*30%+MIN(StudentData[[#This Row],[Study_Hours_per_Week]],20)/20*100*10%</f>
        <v>61.526799999999994</v>
      </c>
      <c r="N624" s="3" t="str" cm="1">
        <f t="array" ref="N624">_xlfn.IFS(StudentData[[#This Row],[Success_Score]]&gt;=85,"Exceptional",StudentData[[#This Row],[Success_Score]]&gt;=70,"Strong",StudentData[[#This Row],[Success_Score]]&gt;=55,"Developing",TRUE,"Needs Improvement")</f>
        <v>Developing</v>
      </c>
      <c r="O624" s="3" t="str">
        <f t="shared" si="18"/>
        <v>Low Risk</v>
      </c>
      <c r="P624" s="3" t="str">
        <f t="shared" si="19"/>
        <v>24-25</v>
      </c>
    </row>
    <row r="625" spans="1:16">
      <c r="A625" t="s">
        <v>659</v>
      </c>
      <c r="B625">
        <v>19</v>
      </c>
      <c r="C625" t="s">
        <v>4</v>
      </c>
      <c r="D625">
        <v>70.89</v>
      </c>
      <c r="E625">
        <v>0</v>
      </c>
      <c r="F625">
        <v>3.58</v>
      </c>
      <c r="G625">
        <v>70.09</v>
      </c>
      <c r="H625">
        <v>50</v>
      </c>
      <c r="I625">
        <v>19</v>
      </c>
      <c r="J625">
        <v>2</v>
      </c>
      <c r="K625">
        <f>(StudentData[[#This Row],[Midterm_Grade]]*40%)+(StudentData[[#This Row],[Final_Grade]]*60%)</f>
        <v>58.036000000000001</v>
      </c>
      <c r="L625">
        <f>StudentData[[#This Row],[Attendance_Percentage]]*40%+StudentData[[#This Row],[Assignments_Completed]]*2+StudentData[[#This Row],[Class_Participation]]*2+StudentData[[#This Row],[Projects_Submitted]]*4</f>
        <v>43.516000000000005</v>
      </c>
      <c r="M625">
        <f>StudentData[[#This Row],[Academic_Score]]*60%+StudentData[[#This Row],[Engagement_Score]]*30%+MIN(StudentData[[#This Row],[Study_Hours_per_Week]],20)/20*100*10%</f>
        <v>57.376399999999997</v>
      </c>
      <c r="N625" s="3" t="str" cm="1">
        <f t="array" ref="N625">_xlfn.IFS(StudentData[[#This Row],[Success_Score]]&gt;=85,"Exceptional",StudentData[[#This Row],[Success_Score]]&gt;=70,"Strong",StudentData[[#This Row],[Success_Score]]&gt;=55,"Developing",TRUE,"Needs Improvement")</f>
        <v>Developing</v>
      </c>
      <c r="O625" s="3" t="str">
        <f t="shared" si="18"/>
        <v>Medium Risk</v>
      </c>
      <c r="P625" s="3" t="str">
        <f t="shared" si="19"/>
        <v>18-20</v>
      </c>
    </row>
    <row r="626" spans="1:16">
      <c r="A626" t="s">
        <v>660</v>
      </c>
      <c r="B626">
        <v>22</v>
      </c>
      <c r="C626" t="s">
        <v>4</v>
      </c>
      <c r="D626">
        <v>99.21</v>
      </c>
      <c r="E626">
        <v>8</v>
      </c>
      <c r="F626">
        <v>9.1300000000000008</v>
      </c>
      <c r="G626">
        <v>19.43</v>
      </c>
      <c r="H626">
        <v>12.78</v>
      </c>
      <c r="I626">
        <v>9</v>
      </c>
      <c r="J626">
        <v>0</v>
      </c>
      <c r="K626">
        <f>(StudentData[[#This Row],[Midterm_Grade]]*40%)+(StudentData[[#This Row],[Final_Grade]]*60%)</f>
        <v>15.44</v>
      </c>
      <c r="L626">
        <f>StudentData[[#This Row],[Attendance_Percentage]]*40%+StudentData[[#This Row],[Assignments_Completed]]*2+StudentData[[#This Row],[Class_Participation]]*2+StudentData[[#This Row],[Projects_Submitted]]*4</f>
        <v>73.944000000000003</v>
      </c>
      <c r="M626">
        <f>StudentData[[#This Row],[Academic_Score]]*60%+StudentData[[#This Row],[Engagement_Score]]*30%+MIN(StudentData[[#This Row],[Study_Hours_per_Week]],20)/20*100*10%</f>
        <v>35.947199999999995</v>
      </c>
      <c r="N626" s="3" t="str" cm="1">
        <f t="array" ref="N62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26" s="3" t="str">
        <f t="shared" si="18"/>
        <v>Medium Risk</v>
      </c>
      <c r="P626" s="3" t="str">
        <f t="shared" si="19"/>
        <v>21-23</v>
      </c>
    </row>
    <row r="627" spans="1:16">
      <c r="A627" t="s">
        <v>661</v>
      </c>
      <c r="B627">
        <v>19</v>
      </c>
      <c r="C627" t="s">
        <v>4</v>
      </c>
      <c r="D627">
        <v>83.4</v>
      </c>
      <c r="E627">
        <v>2</v>
      </c>
      <c r="F627">
        <v>5.66</v>
      </c>
      <c r="G627">
        <v>44.72</v>
      </c>
      <c r="H627">
        <v>58.22</v>
      </c>
      <c r="I627">
        <v>9</v>
      </c>
      <c r="J627">
        <v>2</v>
      </c>
      <c r="K627">
        <f>(StudentData[[#This Row],[Midterm_Grade]]*40%)+(StudentData[[#This Row],[Final_Grade]]*60%)</f>
        <v>52.819999999999993</v>
      </c>
      <c r="L627">
        <f>StudentData[[#This Row],[Attendance_Percentage]]*40%+StudentData[[#This Row],[Assignments_Completed]]*2+StudentData[[#This Row],[Class_Participation]]*2+StudentData[[#This Row],[Projects_Submitted]]*4</f>
        <v>56.680000000000007</v>
      </c>
      <c r="M627">
        <f>StudentData[[#This Row],[Academic_Score]]*60%+StudentData[[#This Row],[Engagement_Score]]*30%+MIN(StudentData[[#This Row],[Study_Hours_per_Week]],20)/20*100*10%</f>
        <v>53.195999999999998</v>
      </c>
      <c r="N627" s="3" t="str" cm="1">
        <f t="array" ref="N62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27" s="3" t="str">
        <f t="shared" si="18"/>
        <v>Medium Risk</v>
      </c>
      <c r="P627" s="3" t="str">
        <f t="shared" si="19"/>
        <v>18-20</v>
      </c>
    </row>
    <row r="628" spans="1:16">
      <c r="A628" t="s">
        <v>662</v>
      </c>
      <c r="B628">
        <v>22</v>
      </c>
      <c r="C628" t="s">
        <v>5</v>
      </c>
      <c r="D628">
        <v>81.73</v>
      </c>
      <c r="E628">
        <v>3</v>
      </c>
      <c r="F628">
        <v>1.83</v>
      </c>
      <c r="G628">
        <v>82.98</v>
      </c>
      <c r="H628">
        <v>29.99</v>
      </c>
      <c r="I628">
        <v>13</v>
      </c>
      <c r="J628">
        <v>1</v>
      </c>
      <c r="K628">
        <f>(StudentData[[#This Row],[Midterm_Grade]]*40%)+(StudentData[[#This Row],[Final_Grade]]*60%)</f>
        <v>51.186</v>
      </c>
      <c r="L628">
        <f>StudentData[[#This Row],[Attendance_Percentage]]*40%+StudentData[[#This Row],[Assignments_Completed]]*2+StudentData[[#This Row],[Class_Participation]]*2+StudentData[[#This Row],[Projects_Submitted]]*4</f>
        <v>46.352000000000004</v>
      </c>
      <c r="M628">
        <f>StudentData[[#This Row],[Academic_Score]]*60%+StudentData[[#This Row],[Engagement_Score]]*30%+MIN(StudentData[[#This Row],[Study_Hours_per_Week]],20)/20*100*10%</f>
        <v>51.117199999999997</v>
      </c>
      <c r="N628" s="3" t="str" cm="1">
        <f t="array" ref="N62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28" s="3" t="str">
        <f t="shared" si="18"/>
        <v>Medium Risk</v>
      </c>
      <c r="P628" s="3" t="str">
        <f t="shared" si="19"/>
        <v>21-23</v>
      </c>
    </row>
    <row r="629" spans="1:16">
      <c r="A629" t="s">
        <v>663</v>
      </c>
      <c r="B629">
        <v>23</v>
      </c>
      <c r="C629" t="s">
        <v>5</v>
      </c>
      <c r="D629">
        <v>58.3</v>
      </c>
      <c r="E629">
        <v>0</v>
      </c>
      <c r="F629">
        <v>1.4</v>
      </c>
      <c r="G629">
        <v>65.47</v>
      </c>
      <c r="H629">
        <v>3.44</v>
      </c>
      <c r="I629">
        <v>11</v>
      </c>
      <c r="J629">
        <v>5</v>
      </c>
      <c r="K629">
        <f>(StudentData[[#This Row],[Midterm_Grade]]*40%)+(StudentData[[#This Row],[Final_Grade]]*60%)</f>
        <v>28.252000000000002</v>
      </c>
      <c r="L629">
        <f>StudentData[[#This Row],[Attendance_Percentage]]*40%+StudentData[[#This Row],[Assignments_Completed]]*2+StudentData[[#This Row],[Class_Participation]]*2+StudentData[[#This Row],[Projects_Submitted]]*4</f>
        <v>46.120000000000005</v>
      </c>
      <c r="M629">
        <f>StudentData[[#This Row],[Academic_Score]]*60%+StudentData[[#This Row],[Engagement_Score]]*30%+MIN(StudentData[[#This Row],[Study_Hours_per_Week]],20)/20*100*10%</f>
        <v>36.287199999999999</v>
      </c>
      <c r="N629" s="3" t="str" cm="1">
        <f t="array" ref="N62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29" s="3" t="str">
        <f t="shared" si="18"/>
        <v>High Risk</v>
      </c>
      <c r="P629" s="3" t="str">
        <f t="shared" si="19"/>
        <v>21-23</v>
      </c>
    </row>
    <row r="630" spans="1:16">
      <c r="A630" t="s">
        <v>664</v>
      </c>
      <c r="B630">
        <v>24</v>
      </c>
      <c r="C630" t="s">
        <v>5</v>
      </c>
      <c r="D630">
        <v>94.1</v>
      </c>
      <c r="E630">
        <v>8</v>
      </c>
      <c r="F630">
        <v>5.76</v>
      </c>
      <c r="G630">
        <v>41.12</v>
      </c>
      <c r="H630">
        <v>63.49</v>
      </c>
      <c r="I630">
        <v>14</v>
      </c>
      <c r="J630">
        <v>2</v>
      </c>
      <c r="K630">
        <f>(StudentData[[#This Row],[Midterm_Grade]]*40%)+(StudentData[[#This Row],[Final_Grade]]*60%)</f>
        <v>54.542000000000002</v>
      </c>
      <c r="L630">
        <f>StudentData[[#This Row],[Attendance_Percentage]]*40%+StudentData[[#This Row],[Assignments_Completed]]*2+StudentData[[#This Row],[Class_Participation]]*2+StudentData[[#This Row],[Projects_Submitted]]*4</f>
        <v>73.16</v>
      </c>
      <c r="M630">
        <f>StudentData[[#This Row],[Academic_Score]]*60%+StudentData[[#This Row],[Engagement_Score]]*30%+MIN(StudentData[[#This Row],[Study_Hours_per_Week]],20)/20*100*10%</f>
        <v>61.673199999999994</v>
      </c>
      <c r="N630" s="3" t="str" cm="1">
        <f t="array" ref="N630">_xlfn.IFS(StudentData[[#This Row],[Success_Score]]&gt;=85,"Exceptional",StudentData[[#This Row],[Success_Score]]&gt;=70,"Strong",StudentData[[#This Row],[Success_Score]]&gt;=55,"Developing",TRUE,"Needs Improvement")</f>
        <v>Developing</v>
      </c>
      <c r="O630" s="3" t="str">
        <f t="shared" si="18"/>
        <v>Medium Risk</v>
      </c>
      <c r="P630" s="3" t="str">
        <f t="shared" si="19"/>
        <v>24-25</v>
      </c>
    </row>
    <row r="631" spans="1:16">
      <c r="A631" t="s">
        <v>665</v>
      </c>
      <c r="B631">
        <v>24</v>
      </c>
      <c r="C631" t="s">
        <v>5</v>
      </c>
      <c r="D631">
        <v>71.37</v>
      </c>
      <c r="E631">
        <v>7</v>
      </c>
      <c r="F631">
        <v>7.62</v>
      </c>
      <c r="G631">
        <v>66.34</v>
      </c>
      <c r="H631">
        <v>85.89</v>
      </c>
      <c r="I631">
        <v>9</v>
      </c>
      <c r="J631">
        <v>0</v>
      </c>
      <c r="K631">
        <f>(StudentData[[#This Row],[Midterm_Grade]]*40%)+(StudentData[[#This Row],[Final_Grade]]*60%)</f>
        <v>78.069999999999993</v>
      </c>
      <c r="L631">
        <f>StudentData[[#This Row],[Attendance_Percentage]]*40%+StudentData[[#This Row],[Assignments_Completed]]*2+StudentData[[#This Row],[Class_Participation]]*2+StudentData[[#This Row],[Projects_Submitted]]*4</f>
        <v>57.788000000000004</v>
      </c>
      <c r="M631">
        <f>StudentData[[#This Row],[Academic_Score]]*60%+StudentData[[#This Row],[Engagement_Score]]*30%+MIN(StudentData[[#This Row],[Study_Hours_per_Week]],20)/20*100*10%</f>
        <v>68.678399999999996</v>
      </c>
      <c r="N631" s="3" t="str" cm="1">
        <f t="array" ref="N631">_xlfn.IFS(StudentData[[#This Row],[Success_Score]]&gt;=85,"Exceptional",StudentData[[#This Row],[Success_Score]]&gt;=70,"Strong",StudentData[[#This Row],[Success_Score]]&gt;=55,"Developing",TRUE,"Needs Improvement")</f>
        <v>Developing</v>
      </c>
      <c r="O631" s="3" t="str">
        <f t="shared" si="18"/>
        <v>Low Risk</v>
      </c>
      <c r="P631" s="3" t="str">
        <f t="shared" si="19"/>
        <v>24-25</v>
      </c>
    </row>
    <row r="632" spans="1:16">
      <c r="A632" t="s">
        <v>666</v>
      </c>
      <c r="B632">
        <v>18</v>
      </c>
      <c r="C632" t="s">
        <v>4</v>
      </c>
      <c r="D632">
        <v>58.11</v>
      </c>
      <c r="E632">
        <v>1</v>
      </c>
      <c r="F632">
        <v>7.82</v>
      </c>
      <c r="G632">
        <v>11.82</v>
      </c>
      <c r="H632">
        <v>34.479999999999997</v>
      </c>
      <c r="I632">
        <v>9</v>
      </c>
      <c r="J632">
        <v>0</v>
      </c>
      <c r="K632">
        <f>(StudentData[[#This Row],[Midterm_Grade]]*40%)+(StudentData[[#This Row],[Final_Grade]]*60%)</f>
        <v>25.416</v>
      </c>
      <c r="L632">
        <f>StudentData[[#This Row],[Attendance_Percentage]]*40%+StudentData[[#This Row],[Assignments_Completed]]*2+StudentData[[#This Row],[Class_Participation]]*2+StudentData[[#This Row],[Projects_Submitted]]*4</f>
        <v>40.884</v>
      </c>
      <c r="M632">
        <f>StudentData[[#This Row],[Academic_Score]]*60%+StudentData[[#This Row],[Engagement_Score]]*30%+MIN(StudentData[[#This Row],[Study_Hours_per_Week]],20)/20*100*10%</f>
        <v>32.014800000000001</v>
      </c>
      <c r="N632" s="3" t="str" cm="1">
        <f t="array" ref="N63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32" s="3" t="str">
        <f t="shared" si="18"/>
        <v>High Risk</v>
      </c>
      <c r="P632" s="3" t="str">
        <f t="shared" si="19"/>
        <v>18-20</v>
      </c>
    </row>
    <row r="633" spans="1:16">
      <c r="A633" t="s">
        <v>667</v>
      </c>
      <c r="B633">
        <v>21</v>
      </c>
      <c r="C633" t="s">
        <v>4</v>
      </c>
      <c r="D633">
        <v>50.63</v>
      </c>
      <c r="E633">
        <v>7</v>
      </c>
      <c r="F633">
        <v>2.76</v>
      </c>
      <c r="G633">
        <v>40.15</v>
      </c>
      <c r="H633">
        <v>39.03</v>
      </c>
      <c r="I633">
        <v>18</v>
      </c>
      <c r="J633">
        <v>1</v>
      </c>
      <c r="K633">
        <f>(StudentData[[#This Row],[Midterm_Grade]]*40%)+(StudentData[[#This Row],[Final_Grade]]*60%)</f>
        <v>39.477999999999994</v>
      </c>
      <c r="L633">
        <f>StudentData[[#This Row],[Attendance_Percentage]]*40%+StudentData[[#This Row],[Assignments_Completed]]*2+StudentData[[#This Row],[Class_Participation]]*2+StudentData[[#This Row],[Projects_Submitted]]*4</f>
        <v>43.772000000000006</v>
      </c>
      <c r="M633">
        <f>StudentData[[#This Row],[Academic_Score]]*60%+StudentData[[#This Row],[Engagement_Score]]*30%+MIN(StudentData[[#This Row],[Study_Hours_per_Week]],20)/20*100*10%</f>
        <v>45.818399999999997</v>
      </c>
      <c r="N633" s="3" t="str" cm="1">
        <f t="array" ref="N63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33" s="3" t="str">
        <f t="shared" si="18"/>
        <v>High Risk</v>
      </c>
      <c r="P633" s="3" t="str">
        <f t="shared" si="19"/>
        <v>21-23</v>
      </c>
    </row>
    <row r="634" spans="1:16">
      <c r="A634" t="s">
        <v>668</v>
      </c>
      <c r="B634">
        <v>22</v>
      </c>
      <c r="C634" t="s">
        <v>5</v>
      </c>
      <c r="D634">
        <v>77.989999999999995</v>
      </c>
      <c r="E634">
        <v>6</v>
      </c>
      <c r="F634">
        <v>2.04</v>
      </c>
      <c r="G634">
        <v>79.31</v>
      </c>
      <c r="H634">
        <v>89.1</v>
      </c>
      <c r="I634">
        <v>0</v>
      </c>
      <c r="J634">
        <v>0</v>
      </c>
      <c r="K634">
        <f>(StudentData[[#This Row],[Midterm_Grade]]*40%)+(StudentData[[#This Row],[Final_Grade]]*60%)</f>
        <v>85.183999999999997</v>
      </c>
      <c r="L634">
        <f>StudentData[[#This Row],[Attendance_Percentage]]*40%+StudentData[[#This Row],[Assignments_Completed]]*2+StudentData[[#This Row],[Class_Participation]]*2+StudentData[[#This Row],[Projects_Submitted]]*4</f>
        <v>47.275999999999996</v>
      </c>
      <c r="M634">
        <f>StudentData[[#This Row],[Academic_Score]]*60%+StudentData[[#This Row],[Engagement_Score]]*30%+MIN(StudentData[[#This Row],[Study_Hours_per_Week]],20)/20*100*10%</f>
        <v>65.293199999999999</v>
      </c>
      <c r="N634" s="3" t="str" cm="1">
        <f t="array" ref="N634">_xlfn.IFS(StudentData[[#This Row],[Success_Score]]&gt;=85,"Exceptional",StudentData[[#This Row],[Success_Score]]&gt;=70,"Strong",StudentData[[#This Row],[Success_Score]]&gt;=55,"Developing",TRUE,"Needs Improvement")</f>
        <v>Developing</v>
      </c>
      <c r="O634" s="3" t="str">
        <f t="shared" si="18"/>
        <v>Low Risk</v>
      </c>
      <c r="P634" s="3" t="str">
        <f t="shared" si="19"/>
        <v>21-23</v>
      </c>
    </row>
    <row r="635" spans="1:16">
      <c r="A635" t="s">
        <v>669</v>
      </c>
      <c r="B635">
        <v>18</v>
      </c>
      <c r="C635" t="s">
        <v>5</v>
      </c>
      <c r="D635">
        <v>76.37</v>
      </c>
      <c r="E635">
        <v>10</v>
      </c>
      <c r="F635">
        <v>0.17</v>
      </c>
      <c r="G635">
        <v>22.05</v>
      </c>
      <c r="H635">
        <v>81.36</v>
      </c>
      <c r="I635">
        <v>9</v>
      </c>
      <c r="J635">
        <v>3</v>
      </c>
      <c r="K635">
        <f>(StudentData[[#This Row],[Midterm_Grade]]*40%)+(StudentData[[#This Row],[Final_Grade]]*60%)</f>
        <v>57.635999999999996</v>
      </c>
      <c r="L635">
        <f>StudentData[[#This Row],[Attendance_Percentage]]*40%+StudentData[[#This Row],[Assignments_Completed]]*2+StudentData[[#This Row],[Class_Participation]]*2+StudentData[[#This Row],[Projects_Submitted]]*4</f>
        <v>62.888000000000005</v>
      </c>
      <c r="M635">
        <f>StudentData[[#This Row],[Academic_Score]]*60%+StudentData[[#This Row],[Engagement_Score]]*30%+MIN(StudentData[[#This Row],[Study_Hours_per_Week]],20)/20*100*10%</f>
        <v>57.947999999999993</v>
      </c>
      <c r="N635" s="3" t="str" cm="1">
        <f t="array" ref="N635">_xlfn.IFS(StudentData[[#This Row],[Success_Score]]&gt;=85,"Exceptional",StudentData[[#This Row],[Success_Score]]&gt;=70,"Strong",StudentData[[#This Row],[Success_Score]]&gt;=55,"Developing",TRUE,"Needs Improvement")</f>
        <v>Developing</v>
      </c>
      <c r="O635" s="3" t="str">
        <f t="shared" si="18"/>
        <v>Medium Risk</v>
      </c>
      <c r="P635" s="3" t="str">
        <f t="shared" si="19"/>
        <v>18-20</v>
      </c>
    </row>
    <row r="636" spans="1:16">
      <c r="A636" t="s">
        <v>670</v>
      </c>
      <c r="B636">
        <v>19</v>
      </c>
      <c r="C636" t="s">
        <v>4</v>
      </c>
      <c r="D636">
        <v>85.97</v>
      </c>
      <c r="E636">
        <v>5</v>
      </c>
      <c r="F636">
        <v>6.79</v>
      </c>
      <c r="G636">
        <v>18.600000000000001</v>
      </c>
      <c r="H636">
        <v>71.5</v>
      </c>
      <c r="I636">
        <v>1</v>
      </c>
      <c r="J636">
        <v>5</v>
      </c>
      <c r="K636">
        <f>(StudentData[[#This Row],[Midterm_Grade]]*40%)+(StudentData[[#This Row],[Final_Grade]]*60%)</f>
        <v>50.34</v>
      </c>
      <c r="L636">
        <f>StudentData[[#This Row],[Attendance_Percentage]]*40%+StudentData[[#This Row],[Assignments_Completed]]*2+StudentData[[#This Row],[Class_Participation]]*2+StudentData[[#This Row],[Projects_Submitted]]*4</f>
        <v>77.967999999999989</v>
      </c>
      <c r="M636">
        <f>StudentData[[#This Row],[Academic_Score]]*60%+StudentData[[#This Row],[Engagement_Score]]*30%+MIN(StudentData[[#This Row],[Study_Hours_per_Week]],20)/20*100*10%</f>
        <v>54.094399999999993</v>
      </c>
      <c r="N636" s="3" t="str" cm="1">
        <f t="array" ref="N63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36" s="3" t="str">
        <f t="shared" si="18"/>
        <v>Medium Risk</v>
      </c>
      <c r="P636" s="3" t="str">
        <f t="shared" si="19"/>
        <v>18-20</v>
      </c>
    </row>
    <row r="637" spans="1:16">
      <c r="A637" t="s">
        <v>671</v>
      </c>
      <c r="B637">
        <v>19</v>
      </c>
      <c r="C637" t="s">
        <v>5</v>
      </c>
      <c r="D637">
        <v>94.51</v>
      </c>
      <c r="E637">
        <v>0</v>
      </c>
      <c r="F637">
        <v>0.77</v>
      </c>
      <c r="G637">
        <v>95.08</v>
      </c>
      <c r="H637">
        <v>24.88</v>
      </c>
      <c r="I637">
        <v>16</v>
      </c>
      <c r="J637">
        <v>5</v>
      </c>
      <c r="K637">
        <f>(StudentData[[#This Row],[Midterm_Grade]]*40%)+(StudentData[[#This Row],[Final_Grade]]*60%)</f>
        <v>52.96</v>
      </c>
      <c r="L637">
        <f>StudentData[[#This Row],[Attendance_Percentage]]*40%+StudentData[[#This Row],[Assignments_Completed]]*2+StudentData[[#This Row],[Class_Participation]]*2+StudentData[[#This Row],[Projects_Submitted]]*4</f>
        <v>59.344000000000001</v>
      </c>
      <c r="M637">
        <f>StudentData[[#This Row],[Academic_Score]]*60%+StudentData[[#This Row],[Engagement_Score]]*30%+MIN(StudentData[[#This Row],[Study_Hours_per_Week]],20)/20*100*10%</f>
        <v>57.5792</v>
      </c>
      <c r="N637" s="3" t="str" cm="1">
        <f t="array" ref="N637">_xlfn.IFS(StudentData[[#This Row],[Success_Score]]&gt;=85,"Exceptional",StudentData[[#This Row],[Success_Score]]&gt;=70,"Strong",StudentData[[#This Row],[Success_Score]]&gt;=55,"Developing",TRUE,"Needs Improvement")</f>
        <v>Developing</v>
      </c>
      <c r="O637" s="3" t="str">
        <f t="shared" si="18"/>
        <v>Medium Risk</v>
      </c>
      <c r="P637" s="3" t="str">
        <f t="shared" si="19"/>
        <v>18-20</v>
      </c>
    </row>
    <row r="638" spans="1:16">
      <c r="A638" t="s">
        <v>672</v>
      </c>
      <c r="B638">
        <v>18</v>
      </c>
      <c r="C638" t="s">
        <v>4</v>
      </c>
      <c r="D638">
        <v>53.97</v>
      </c>
      <c r="E638">
        <v>6</v>
      </c>
      <c r="F638">
        <v>4.21</v>
      </c>
      <c r="G638">
        <v>20.99</v>
      </c>
      <c r="H638">
        <v>91.02</v>
      </c>
      <c r="I638">
        <v>6</v>
      </c>
      <c r="J638">
        <v>5</v>
      </c>
      <c r="K638">
        <f>(StudentData[[#This Row],[Midterm_Grade]]*40%)+(StudentData[[#This Row],[Final_Grade]]*60%)</f>
        <v>63.007999999999996</v>
      </c>
      <c r="L638">
        <f>StudentData[[#This Row],[Attendance_Percentage]]*40%+StudentData[[#This Row],[Assignments_Completed]]*2+StudentData[[#This Row],[Class_Participation]]*2+StudentData[[#This Row],[Projects_Submitted]]*4</f>
        <v>62.008000000000003</v>
      </c>
      <c r="M638">
        <f>StudentData[[#This Row],[Academic_Score]]*60%+StudentData[[#This Row],[Engagement_Score]]*30%+MIN(StudentData[[#This Row],[Study_Hours_per_Week]],20)/20*100*10%</f>
        <v>59.407199999999989</v>
      </c>
      <c r="N638" s="3" t="str" cm="1">
        <f t="array" ref="N638">_xlfn.IFS(StudentData[[#This Row],[Success_Score]]&gt;=85,"Exceptional",StudentData[[#This Row],[Success_Score]]&gt;=70,"Strong",StudentData[[#This Row],[Success_Score]]&gt;=55,"Developing",TRUE,"Needs Improvement")</f>
        <v>Developing</v>
      </c>
      <c r="O638" s="3" t="str">
        <f t="shared" si="18"/>
        <v>Medium Risk</v>
      </c>
      <c r="P638" s="3" t="str">
        <f t="shared" si="19"/>
        <v>18-20</v>
      </c>
    </row>
    <row r="639" spans="1:16">
      <c r="A639" t="s">
        <v>673</v>
      </c>
      <c r="B639">
        <v>24</v>
      </c>
      <c r="C639" t="s">
        <v>4</v>
      </c>
      <c r="D639">
        <v>86.57</v>
      </c>
      <c r="E639">
        <v>9</v>
      </c>
      <c r="F639">
        <v>6.02</v>
      </c>
      <c r="G639">
        <v>26.09</v>
      </c>
      <c r="H639">
        <v>15.44</v>
      </c>
      <c r="I639">
        <v>6</v>
      </c>
      <c r="J639">
        <v>4</v>
      </c>
      <c r="K639">
        <f>(StudentData[[#This Row],[Midterm_Grade]]*40%)+(StudentData[[#This Row],[Final_Grade]]*60%)</f>
        <v>19.7</v>
      </c>
      <c r="L639">
        <f>StudentData[[#This Row],[Attendance_Percentage]]*40%+StudentData[[#This Row],[Assignments_Completed]]*2+StudentData[[#This Row],[Class_Participation]]*2+StudentData[[#This Row],[Projects_Submitted]]*4</f>
        <v>80.668000000000006</v>
      </c>
      <c r="M639">
        <f>StudentData[[#This Row],[Academic_Score]]*60%+StudentData[[#This Row],[Engagement_Score]]*30%+MIN(StudentData[[#This Row],[Study_Hours_per_Week]],20)/20*100*10%</f>
        <v>39.020400000000002</v>
      </c>
      <c r="N639" s="3" t="str" cm="1">
        <f t="array" ref="N63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39" s="3" t="str">
        <f t="shared" si="18"/>
        <v>Medium Risk</v>
      </c>
      <c r="P639" s="3" t="str">
        <f t="shared" si="19"/>
        <v>24-25</v>
      </c>
    </row>
    <row r="640" spans="1:16">
      <c r="A640" t="s">
        <v>674</v>
      </c>
      <c r="B640">
        <v>19</v>
      </c>
      <c r="C640" t="s">
        <v>4</v>
      </c>
      <c r="D640">
        <v>59.37</v>
      </c>
      <c r="E640">
        <v>6</v>
      </c>
      <c r="F640">
        <v>9.3699999999999992</v>
      </c>
      <c r="G640">
        <v>96.96</v>
      </c>
      <c r="H640">
        <v>62.68</v>
      </c>
      <c r="I640">
        <v>19</v>
      </c>
      <c r="J640">
        <v>2</v>
      </c>
      <c r="K640">
        <f>(StudentData[[#This Row],[Midterm_Grade]]*40%)+(StudentData[[#This Row],[Final_Grade]]*60%)</f>
        <v>76.391999999999996</v>
      </c>
      <c r="L640">
        <f>StudentData[[#This Row],[Attendance_Percentage]]*40%+StudentData[[#This Row],[Assignments_Completed]]*2+StudentData[[#This Row],[Class_Participation]]*2+StudentData[[#This Row],[Projects_Submitted]]*4</f>
        <v>62.488</v>
      </c>
      <c r="M640">
        <f>StudentData[[#This Row],[Academic_Score]]*60%+StudentData[[#This Row],[Engagement_Score]]*30%+MIN(StudentData[[#This Row],[Study_Hours_per_Week]],20)/20*100*10%</f>
        <v>74.081599999999995</v>
      </c>
      <c r="N640" s="3" t="str" cm="1">
        <f t="array" ref="N640">_xlfn.IFS(StudentData[[#This Row],[Success_Score]]&gt;=85,"Exceptional",StudentData[[#This Row],[Success_Score]]&gt;=70,"Strong",StudentData[[#This Row],[Success_Score]]&gt;=55,"Developing",TRUE,"Needs Improvement")</f>
        <v>Strong</v>
      </c>
      <c r="O640" s="3" t="str">
        <f t="shared" si="18"/>
        <v>Medium Risk</v>
      </c>
      <c r="P640" s="3" t="str">
        <f t="shared" si="19"/>
        <v>18-20</v>
      </c>
    </row>
    <row r="641" spans="1:16">
      <c r="A641" t="s">
        <v>675</v>
      </c>
      <c r="B641">
        <v>25</v>
      </c>
      <c r="C641" t="s">
        <v>4</v>
      </c>
      <c r="D641">
        <v>92.91</v>
      </c>
      <c r="E641">
        <v>8</v>
      </c>
      <c r="F641">
        <v>3.12</v>
      </c>
      <c r="G641">
        <v>73.47</v>
      </c>
      <c r="H641">
        <v>2.88</v>
      </c>
      <c r="I641">
        <v>8</v>
      </c>
      <c r="J641">
        <v>3</v>
      </c>
      <c r="K641">
        <f>(StudentData[[#This Row],[Midterm_Grade]]*40%)+(StudentData[[#This Row],[Final_Grade]]*60%)</f>
        <v>31.116000000000003</v>
      </c>
      <c r="L641">
        <f>StudentData[[#This Row],[Attendance_Percentage]]*40%+StudentData[[#This Row],[Assignments_Completed]]*2+StudentData[[#This Row],[Class_Participation]]*2+StudentData[[#This Row],[Projects_Submitted]]*4</f>
        <v>71.403999999999996</v>
      </c>
      <c r="M641">
        <f>StudentData[[#This Row],[Academic_Score]]*60%+StudentData[[#This Row],[Engagement_Score]]*30%+MIN(StudentData[[#This Row],[Study_Hours_per_Week]],20)/20*100*10%</f>
        <v>44.090800000000002</v>
      </c>
      <c r="N641" s="3" t="str" cm="1">
        <f t="array" ref="N64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41" s="3" t="str">
        <f t="shared" si="18"/>
        <v>Medium Risk</v>
      </c>
      <c r="P641" s="3" t="str">
        <f t="shared" si="19"/>
        <v>24-25</v>
      </c>
    </row>
    <row r="642" spans="1:16">
      <c r="A642" t="s">
        <v>676</v>
      </c>
      <c r="B642">
        <v>23</v>
      </c>
      <c r="C642" t="s">
        <v>4</v>
      </c>
      <c r="D642">
        <v>90.95</v>
      </c>
      <c r="E642">
        <v>0</v>
      </c>
      <c r="F642">
        <v>2.5</v>
      </c>
      <c r="G642">
        <v>69.959999999999994</v>
      </c>
      <c r="H642">
        <v>64.37</v>
      </c>
      <c r="I642">
        <v>1</v>
      </c>
      <c r="J642">
        <v>2</v>
      </c>
      <c r="K642">
        <f>(StudentData[[#This Row],[Midterm_Grade]]*40%)+(StudentData[[#This Row],[Final_Grade]]*60%)</f>
        <v>66.605999999999995</v>
      </c>
      <c r="L642">
        <f>StudentData[[#This Row],[Attendance_Percentage]]*40%+StudentData[[#This Row],[Assignments_Completed]]*2+StudentData[[#This Row],[Class_Participation]]*2+StudentData[[#This Row],[Projects_Submitted]]*4</f>
        <v>49.38</v>
      </c>
      <c r="M642">
        <f>StudentData[[#This Row],[Academic_Score]]*60%+StudentData[[#This Row],[Engagement_Score]]*30%+MIN(StudentData[[#This Row],[Study_Hours_per_Week]],20)/20*100*10%</f>
        <v>55.277599999999993</v>
      </c>
      <c r="N642" s="3" t="str" cm="1">
        <f t="array" ref="N642">_xlfn.IFS(StudentData[[#This Row],[Success_Score]]&gt;=85,"Exceptional",StudentData[[#This Row],[Success_Score]]&gt;=70,"Strong",StudentData[[#This Row],[Success_Score]]&gt;=55,"Developing",TRUE,"Needs Improvement")</f>
        <v>Developing</v>
      </c>
      <c r="O642" s="3" t="str">
        <f t="shared" ref="O642:O705" si="20">IF(AND(D642&lt;60,K642&lt;50),"High Risk",IF(OR(D642&lt;70,K642&lt;60),"Medium Risk","Low Risk"))</f>
        <v>Low Risk</v>
      </c>
      <c r="P642" s="3" t="str">
        <f t="shared" ref="P642:P705" si="21">IF(B642&lt;=20,"18-20",IF(B642&lt;=23,"21-23","24-25"))</f>
        <v>21-23</v>
      </c>
    </row>
    <row r="643" spans="1:16">
      <c r="A643" t="s">
        <v>677</v>
      </c>
      <c r="B643">
        <v>23</v>
      </c>
      <c r="C643" t="s">
        <v>5</v>
      </c>
      <c r="D643">
        <v>77.040000000000006</v>
      </c>
      <c r="E643">
        <v>1</v>
      </c>
      <c r="F643">
        <v>6.54</v>
      </c>
      <c r="G643">
        <v>85.29</v>
      </c>
      <c r="H643">
        <v>27.71</v>
      </c>
      <c r="I643">
        <v>13</v>
      </c>
      <c r="J643">
        <v>3</v>
      </c>
      <c r="K643">
        <f>(StudentData[[#This Row],[Midterm_Grade]]*40%)+(StudentData[[#This Row],[Final_Grade]]*60%)</f>
        <v>50.742000000000004</v>
      </c>
      <c r="L643">
        <f>StudentData[[#This Row],[Attendance_Percentage]]*40%+StudentData[[#This Row],[Assignments_Completed]]*2+StudentData[[#This Row],[Class_Participation]]*2+StudentData[[#This Row],[Projects_Submitted]]*4</f>
        <v>57.896000000000001</v>
      </c>
      <c r="M643">
        <f>StudentData[[#This Row],[Academic_Score]]*60%+StudentData[[#This Row],[Engagement_Score]]*30%+MIN(StudentData[[#This Row],[Study_Hours_per_Week]],20)/20*100*10%</f>
        <v>54.314</v>
      </c>
      <c r="N643" s="3" t="str" cm="1">
        <f t="array" ref="N64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43" s="3" t="str">
        <f t="shared" si="20"/>
        <v>Medium Risk</v>
      </c>
      <c r="P643" s="3" t="str">
        <f t="shared" si="21"/>
        <v>21-23</v>
      </c>
    </row>
    <row r="644" spans="1:16">
      <c r="A644" t="s">
        <v>678</v>
      </c>
      <c r="B644">
        <v>25</v>
      </c>
      <c r="C644" t="s">
        <v>4</v>
      </c>
      <c r="D644">
        <v>85.51</v>
      </c>
      <c r="E644">
        <v>10</v>
      </c>
      <c r="F644">
        <v>6.19</v>
      </c>
      <c r="G644">
        <v>11.58</v>
      </c>
      <c r="H644">
        <v>44.97</v>
      </c>
      <c r="I644">
        <v>16</v>
      </c>
      <c r="J644">
        <v>2</v>
      </c>
      <c r="K644">
        <f>(StudentData[[#This Row],[Midterm_Grade]]*40%)+(StudentData[[#This Row],[Final_Grade]]*60%)</f>
        <v>31.614000000000001</v>
      </c>
      <c r="L644">
        <f>StudentData[[#This Row],[Attendance_Percentage]]*40%+StudentData[[#This Row],[Assignments_Completed]]*2+StudentData[[#This Row],[Class_Participation]]*2+StudentData[[#This Row],[Projects_Submitted]]*4</f>
        <v>74.584000000000003</v>
      </c>
      <c r="M644">
        <f>StudentData[[#This Row],[Academic_Score]]*60%+StudentData[[#This Row],[Engagement_Score]]*30%+MIN(StudentData[[#This Row],[Study_Hours_per_Week]],20)/20*100*10%</f>
        <v>49.343599999999995</v>
      </c>
      <c r="N644" s="3" t="str" cm="1">
        <f t="array" ref="N64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44" s="3" t="str">
        <f t="shared" si="20"/>
        <v>Medium Risk</v>
      </c>
      <c r="P644" s="3" t="str">
        <f t="shared" si="21"/>
        <v>24-25</v>
      </c>
    </row>
    <row r="645" spans="1:16">
      <c r="A645" t="s">
        <v>679</v>
      </c>
      <c r="B645">
        <v>18</v>
      </c>
      <c r="C645" t="s">
        <v>4</v>
      </c>
      <c r="D645">
        <v>65.72</v>
      </c>
      <c r="E645">
        <v>8</v>
      </c>
      <c r="F645">
        <v>3.32</v>
      </c>
      <c r="G645">
        <v>70.599999999999994</v>
      </c>
      <c r="H645">
        <v>34.53</v>
      </c>
      <c r="I645">
        <v>0</v>
      </c>
      <c r="J645">
        <v>1</v>
      </c>
      <c r="K645">
        <f>(StudentData[[#This Row],[Midterm_Grade]]*40%)+(StudentData[[#This Row],[Final_Grade]]*60%)</f>
        <v>48.957999999999998</v>
      </c>
      <c r="L645">
        <f>StudentData[[#This Row],[Attendance_Percentage]]*40%+StudentData[[#This Row],[Assignments_Completed]]*2+StudentData[[#This Row],[Class_Participation]]*2+StudentData[[#This Row],[Projects_Submitted]]*4</f>
        <v>52.927999999999997</v>
      </c>
      <c r="M645">
        <f>StudentData[[#This Row],[Academic_Score]]*60%+StudentData[[#This Row],[Engagement_Score]]*30%+MIN(StudentData[[#This Row],[Study_Hours_per_Week]],20)/20*100*10%</f>
        <v>45.253199999999993</v>
      </c>
      <c r="N645" s="3" t="str" cm="1">
        <f t="array" ref="N64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45" s="3" t="str">
        <f t="shared" si="20"/>
        <v>Medium Risk</v>
      </c>
      <c r="P645" s="3" t="str">
        <f t="shared" si="21"/>
        <v>18-20</v>
      </c>
    </row>
    <row r="646" spans="1:16">
      <c r="A646" t="s">
        <v>680</v>
      </c>
      <c r="B646">
        <v>25</v>
      </c>
      <c r="C646" t="s">
        <v>5</v>
      </c>
      <c r="D646">
        <v>73.56</v>
      </c>
      <c r="E646">
        <v>8</v>
      </c>
      <c r="F646">
        <v>9.2799999999999994</v>
      </c>
      <c r="G646">
        <v>50.37</v>
      </c>
      <c r="H646">
        <v>17.28</v>
      </c>
      <c r="I646">
        <v>8</v>
      </c>
      <c r="J646">
        <v>0</v>
      </c>
      <c r="K646">
        <f>(StudentData[[#This Row],[Midterm_Grade]]*40%)+(StudentData[[#This Row],[Final_Grade]]*60%)</f>
        <v>30.515999999999998</v>
      </c>
      <c r="L646">
        <f>StudentData[[#This Row],[Attendance_Percentage]]*40%+StudentData[[#This Row],[Assignments_Completed]]*2+StudentData[[#This Row],[Class_Participation]]*2+StudentData[[#This Row],[Projects_Submitted]]*4</f>
        <v>63.984000000000009</v>
      </c>
      <c r="M646">
        <f>StudentData[[#This Row],[Academic_Score]]*60%+StudentData[[#This Row],[Engagement_Score]]*30%+MIN(StudentData[[#This Row],[Study_Hours_per_Week]],20)/20*100*10%</f>
        <v>41.504800000000003</v>
      </c>
      <c r="N646" s="3" t="str" cm="1">
        <f t="array" ref="N64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46" s="3" t="str">
        <f t="shared" si="20"/>
        <v>Medium Risk</v>
      </c>
      <c r="P646" s="3" t="str">
        <f t="shared" si="21"/>
        <v>24-25</v>
      </c>
    </row>
    <row r="647" spans="1:16">
      <c r="A647" t="s">
        <v>681</v>
      </c>
      <c r="B647">
        <v>22</v>
      </c>
      <c r="C647" t="s">
        <v>4</v>
      </c>
      <c r="D647">
        <v>91.08</v>
      </c>
      <c r="E647">
        <v>5</v>
      </c>
      <c r="F647">
        <v>8.4499999999999993</v>
      </c>
      <c r="G647">
        <v>82.92</v>
      </c>
      <c r="H647">
        <v>62.2</v>
      </c>
      <c r="I647">
        <v>19</v>
      </c>
      <c r="J647">
        <v>0</v>
      </c>
      <c r="K647">
        <f>(StudentData[[#This Row],[Midterm_Grade]]*40%)+(StudentData[[#This Row],[Final_Grade]]*60%)</f>
        <v>70.488</v>
      </c>
      <c r="L647">
        <f>StudentData[[#This Row],[Attendance_Percentage]]*40%+StudentData[[#This Row],[Assignments_Completed]]*2+StudentData[[#This Row],[Class_Participation]]*2+StudentData[[#This Row],[Projects_Submitted]]*4</f>
        <v>63.332000000000001</v>
      </c>
      <c r="M647">
        <f>StudentData[[#This Row],[Academic_Score]]*60%+StudentData[[#This Row],[Engagement_Score]]*30%+MIN(StudentData[[#This Row],[Study_Hours_per_Week]],20)/20*100*10%</f>
        <v>70.792400000000001</v>
      </c>
      <c r="N647" s="3" t="str" cm="1">
        <f t="array" ref="N647">_xlfn.IFS(StudentData[[#This Row],[Success_Score]]&gt;=85,"Exceptional",StudentData[[#This Row],[Success_Score]]&gt;=70,"Strong",StudentData[[#This Row],[Success_Score]]&gt;=55,"Developing",TRUE,"Needs Improvement")</f>
        <v>Strong</v>
      </c>
      <c r="O647" s="3" t="str">
        <f t="shared" si="20"/>
        <v>Low Risk</v>
      </c>
      <c r="P647" s="3" t="str">
        <f t="shared" si="21"/>
        <v>21-23</v>
      </c>
    </row>
    <row r="648" spans="1:16">
      <c r="A648" t="s">
        <v>682</v>
      </c>
      <c r="B648">
        <v>22</v>
      </c>
      <c r="C648" t="s">
        <v>4</v>
      </c>
      <c r="D648">
        <v>72.959999999999994</v>
      </c>
      <c r="E648">
        <v>5</v>
      </c>
      <c r="F648">
        <v>2.2400000000000002</v>
      </c>
      <c r="G648">
        <v>50.81</v>
      </c>
      <c r="H648">
        <v>88.2</v>
      </c>
      <c r="I648">
        <v>18</v>
      </c>
      <c r="J648">
        <v>1</v>
      </c>
      <c r="K648">
        <f>(StudentData[[#This Row],[Midterm_Grade]]*40%)+(StudentData[[#This Row],[Final_Grade]]*60%)</f>
        <v>73.244</v>
      </c>
      <c r="L648">
        <f>StudentData[[#This Row],[Attendance_Percentage]]*40%+StudentData[[#This Row],[Assignments_Completed]]*2+StudentData[[#This Row],[Class_Participation]]*2+StudentData[[#This Row],[Projects_Submitted]]*4</f>
        <v>47.664000000000001</v>
      </c>
      <c r="M648">
        <f>StudentData[[#This Row],[Academic_Score]]*60%+StudentData[[#This Row],[Engagement_Score]]*30%+MIN(StudentData[[#This Row],[Study_Hours_per_Week]],20)/20*100*10%</f>
        <v>67.245599999999996</v>
      </c>
      <c r="N648" s="3" t="str" cm="1">
        <f t="array" ref="N648">_xlfn.IFS(StudentData[[#This Row],[Success_Score]]&gt;=85,"Exceptional",StudentData[[#This Row],[Success_Score]]&gt;=70,"Strong",StudentData[[#This Row],[Success_Score]]&gt;=55,"Developing",TRUE,"Needs Improvement")</f>
        <v>Developing</v>
      </c>
      <c r="O648" s="3" t="str">
        <f t="shared" si="20"/>
        <v>Low Risk</v>
      </c>
      <c r="P648" s="3" t="str">
        <f t="shared" si="21"/>
        <v>21-23</v>
      </c>
    </row>
    <row r="649" spans="1:16">
      <c r="A649" t="s">
        <v>683</v>
      </c>
      <c r="B649">
        <v>18</v>
      </c>
      <c r="C649" t="s">
        <v>4</v>
      </c>
      <c r="D649">
        <v>67.89</v>
      </c>
      <c r="E649">
        <v>3</v>
      </c>
      <c r="F649">
        <v>2.39</v>
      </c>
      <c r="G649">
        <v>62.02</v>
      </c>
      <c r="H649">
        <v>95.91</v>
      </c>
      <c r="I649">
        <v>3</v>
      </c>
      <c r="J649">
        <v>3</v>
      </c>
      <c r="K649">
        <f>(StudentData[[#This Row],[Midterm_Grade]]*40%)+(StudentData[[#This Row],[Final_Grade]]*60%)</f>
        <v>82.353999999999999</v>
      </c>
      <c r="L649">
        <f>StudentData[[#This Row],[Attendance_Percentage]]*40%+StudentData[[#This Row],[Assignments_Completed]]*2+StudentData[[#This Row],[Class_Participation]]*2+StudentData[[#This Row],[Projects_Submitted]]*4</f>
        <v>49.936000000000007</v>
      </c>
      <c r="M649">
        <f>StudentData[[#This Row],[Academic_Score]]*60%+StudentData[[#This Row],[Engagement_Score]]*30%+MIN(StudentData[[#This Row],[Study_Hours_per_Week]],20)/20*100*10%</f>
        <v>65.893200000000007</v>
      </c>
      <c r="N649" s="3" t="str" cm="1">
        <f t="array" ref="N649">_xlfn.IFS(StudentData[[#This Row],[Success_Score]]&gt;=85,"Exceptional",StudentData[[#This Row],[Success_Score]]&gt;=70,"Strong",StudentData[[#This Row],[Success_Score]]&gt;=55,"Developing",TRUE,"Needs Improvement")</f>
        <v>Developing</v>
      </c>
      <c r="O649" s="3" t="str">
        <f t="shared" si="20"/>
        <v>Medium Risk</v>
      </c>
      <c r="P649" s="3" t="str">
        <f t="shared" si="21"/>
        <v>18-20</v>
      </c>
    </row>
    <row r="650" spans="1:16">
      <c r="A650" t="s">
        <v>684</v>
      </c>
      <c r="B650">
        <v>25</v>
      </c>
      <c r="C650" t="s">
        <v>4</v>
      </c>
      <c r="D650">
        <v>74.709999999999994</v>
      </c>
      <c r="E650">
        <v>3</v>
      </c>
      <c r="F650">
        <v>5.12</v>
      </c>
      <c r="G650">
        <v>47.77</v>
      </c>
      <c r="H650">
        <v>19.23</v>
      </c>
      <c r="I650">
        <v>7</v>
      </c>
      <c r="J650">
        <v>4</v>
      </c>
      <c r="K650">
        <f>(StudentData[[#This Row],[Midterm_Grade]]*40%)+(StudentData[[#This Row],[Final_Grade]]*60%)</f>
        <v>30.646000000000001</v>
      </c>
      <c r="L650">
        <f>StudentData[[#This Row],[Attendance_Percentage]]*40%+StudentData[[#This Row],[Assignments_Completed]]*2+StudentData[[#This Row],[Class_Participation]]*2+StudentData[[#This Row],[Projects_Submitted]]*4</f>
        <v>62.124000000000002</v>
      </c>
      <c r="M650">
        <f>StudentData[[#This Row],[Academic_Score]]*60%+StudentData[[#This Row],[Engagement_Score]]*30%+MIN(StudentData[[#This Row],[Study_Hours_per_Week]],20)/20*100*10%</f>
        <v>40.524799999999999</v>
      </c>
      <c r="N650" s="3" t="str" cm="1">
        <f t="array" ref="N65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50" s="3" t="str">
        <f t="shared" si="20"/>
        <v>Medium Risk</v>
      </c>
      <c r="P650" s="3" t="str">
        <f t="shared" si="21"/>
        <v>24-25</v>
      </c>
    </row>
    <row r="651" spans="1:16">
      <c r="A651" t="s">
        <v>685</v>
      </c>
      <c r="B651">
        <v>22</v>
      </c>
      <c r="C651" t="s">
        <v>4</v>
      </c>
      <c r="D651">
        <v>91.41</v>
      </c>
      <c r="E651">
        <v>4</v>
      </c>
      <c r="F651">
        <v>7.74</v>
      </c>
      <c r="G651">
        <v>47.82</v>
      </c>
      <c r="H651">
        <v>71.739999999999995</v>
      </c>
      <c r="I651">
        <v>12</v>
      </c>
      <c r="J651">
        <v>3</v>
      </c>
      <c r="K651">
        <f>(StudentData[[#This Row],[Midterm_Grade]]*40%)+(StudentData[[#This Row],[Final_Grade]]*60%)</f>
        <v>62.171999999999997</v>
      </c>
      <c r="L651">
        <f>StudentData[[#This Row],[Attendance_Percentage]]*40%+StudentData[[#This Row],[Assignments_Completed]]*2+StudentData[[#This Row],[Class_Participation]]*2+StudentData[[#This Row],[Projects_Submitted]]*4</f>
        <v>72.043999999999997</v>
      </c>
      <c r="M651">
        <f>StudentData[[#This Row],[Academic_Score]]*60%+StudentData[[#This Row],[Engagement_Score]]*30%+MIN(StudentData[[#This Row],[Study_Hours_per_Week]],20)/20*100*10%</f>
        <v>64.916399999999996</v>
      </c>
      <c r="N651" s="3" t="str" cm="1">
        <f t="array" ref="N651">_xlfn.IFS(StudentData[[#This Row],[Success_Score]]&gt;=85,"Exceptional",StudentData[[#This Row],[Success_Score]]&gt;=70,"Strong",StudentData[[#This Row],[Success_Score]]&gt;=55,"Developing",TRUE,"Needs Improvement")</f>
        <v>Developing</v>
      </c>
      <c r="O651" s="3" t="str">
        <f t="shared" si="20"/>
        <v>Low Risk</v>
      </c>
      <c r="P651" s="3" t="str">
        <f t="shared" si="21"/>
        <v>21-23</v>
      </c>
    </row>
    <row r="652" spans="1:16">
      <c r="A652" t="s">
        <v>686</v>
      </c>
      <c r="B652">
        <v>24</v>
      </c>
      <c r="C652" t="s">
        <v>4</v>
      </c>
      <c r="D652">
        <v>66.760000000000005</v>
      </c>
      <c r="E652">
        <v>2</v>
      </c>
      <c r="F652">
        <v>0.44</v>
      </c>
      <c r="G652">
        <v>76.8</v>
      </c>
      <c r="H652">
        <v>66.430000000000007</v>
      </c>
      <c r="I652">
        <v>3</v>
      </c>
      <c r="J652">
        <v>0</v>
      </c>
      <c r="K652">
        <f>(StudentData[[#This Row],[Midterm_Grade]]*40%)+(StudentData[[#This Row],[Final_Grade]]*60%)</f>
        <v>70.578000000000003</v>
      </c>
      <c r="L652">
        <f>StudentData[[#This Row],[Attendance_Percentage]]*40%+StudentData[[#This Row],[Assignments_Completed]]*2+StudentData[[#This Row],[Class_Participation]]*2+StudentData[[#This Row],[Projects_Submitted]]*4</f>
        <v>31.584000000000003</v>
      </c>
      <c r="M652">
        <f>StudentData[[#This Row],[Academic_Score]]*60%+StudentData[[#This Row],[Engagement_Score]]*30%+MIN(StudentData[[#This Row],[Study_Hours_per_Week]],20)/20*100*10%</f>
        <v>53.322000000000003</v>
      </c>
      <c r="N652" s="3" t="str" cm="1">
        <f t="array" ref="N65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52" s="3" t="str">
        <f t="shared" si="20"/>
        <v>Medium Risk</v>
      </c>
      <c r="P652" s="3" t="str">
        <f t="shared" si="21"/>
        <v>24-25</v>
      </c>
    </row>
    <row r="653" spans="1:16">
      <c r="A653" t="s">
        <v>687</v>
      </c>
      <c r="B653">
        <v>25</v>
      </c>
      <c r="C653" t="s">
        <v>4</v>
      </c>
      <c r="D653">
        <v>58.69</v>
      </c>
      <c r="E653">
        <v>0</v>
      </c>
      <c r="F653">
        <v>6.93</v>
      </c>
      <c r="G653">
        <v>62.86</v>
      </c>
      <c r="H653">
        <v>34.340000000000003</v>
      </c>
      <c r="I653">
        <v>8</v>
      </c>
      <c r="J653">
        <v>4</v>
      </c>
      <c r="K653">
        <f>(StudentData[[#This Row],[Midterm_Grade]]*40%)+(StudentData[[#This Row],[Final_Grade]]*60%)</f>
        <v>45.748000000000005</v>
      </c>
      <c r="L653">
        <f>StudentData[[#This Row],[Attendance_Percentage]]*40%+StudentData[[#This Row],[Assignments_Completed]]*2+StudentData[[#This Row],[Class_Participation]]*2+StudentData[[#This Row],[Projects_Submitted]]*4</f>
        <v>53.335999999999999</v>
      </c>
      <c r="M653">
        <f>StudentData[[#This Row],[Academic_Score]]*60%+StudentData[[#This Row],[Engagement_Score]]*30%+MIN(StudentData[[#This Row],[Study_Hours_per_Week]],20)/20*100*10%</f>
        <v>47.449600000000004</v>
      </c>
      <c r="N653" s="3" t="str" cm="1">
        <f t="array" ref="N65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53" s="3" t="str">
        <f t="shared" si="20"/>
        <v>High Risk</v>
      </c>
      <c r="P653" s="3" t="str">
        <f t="shared" si="21"/>
        <v>24-25</v>
      </c>
    </row>
    <row r="654" spans="1:16">
      <c r="A654" t="s">
        <v>688</v>
      </c>
      <c r="B654">
        <v>24</v>
      </c>
      <c r="C654" t="s">
        <v>4</v>
      </c>
      <c r="D654">
        <v>85.6</v>
      </c>
      <c r="E654">
        <v>0</v>
      </c>
      <c r="F654">
        <v>6.48</v>
      </c>
      <c r="G654">
        <v>63.33</v>
      </c>
      <c r="H654">
        <v>1.91</v>
      </c>
      <c r="I654">
        <v>8</v>
      </c>
      <c r="J654">
        <v>2</v>
      </c>
      <c r="K654">
        <f>(StudentData[[#This Row],[Midterm_Grade]]*40%)+(StudentData[[#This Row],[Final_Grade]]*60%)</f>
        <v>26.478000000000002</v>
      </c>
      <c r="L654">
        <f>StudentData[[#This Row],[Attendance_Percentage]]*40%+StudentData[[#This Row],[Assignments_Completed]]*2+StudentData[[#This Row],[Class_Participation]]*2+StudentData[[#This Row],[Projects_Submitted]]*4</f>
        <v>55.2</v>
      </c>
      <c r="M654">
        <f>StudentData[[#This Row],[Academic_Score]]*60%+StudentData[[#This Row],[Engagement_Score]]*30%+MIN(StudentData[[#This Row],[Study_Hours_per_Week]],20)/20*100*10%</f>
        <v>36.446799999999996</v>
      </c>
      <c r="N654" s="3" t="str" cm="1">
        <f t="array" ref="N65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54" s="3" t="str">
        <f t="shared" si="20"/>
        <v>Medium Risk</v>
      </c>
      <c r="P654" s="3" t="str">
        <f t="shared" si="21"/>
        <v>24-25</v>
      </c>
    </row>
    <row r="655" spans="1:16">
      <c r="A655" t="s">
        <v>689</v>
      </c>
      <c r="B655">
        <v>22</v>
      </c>
      <c r="C655" t="s">
        <v>4</v>
      </c>
      <c r="D655">
        <v>91.3</v>
      </c>
      <c r="E655">
        <v>6</v>
      </c>
      <c r="F655">
        <v>2.31</v>
      </c>
      <c r="G655">
        <v>45.03</v>
      </c>
      <c r="H655">
        <v>68.98</v>
      </c>
      <c r="I655">
        <v>17</v>
      </c>
      <c r="J655">
        <v>4</v>
      </c>
      <c r="K655">
        <f>(StudentData[[#This Row],[Midterm_Grade]]*40%)+(StudentData[[#This Row],[Final_Grade]]*60%)</f>
        <v>59.4</v>
      </c>
      <c r="L655">
        <f>StudentData[[#This Row],[Attendance_Percentage]]*40%+StudentData[[#This Row],[Assignments_Completed]]*2+StudentData[[#This Row],[Class_Participation]]*2+StudentData[[#This Row],[Projects_Submitted]]*4</f>
        <v>69.14</v>
      </c>
      <c r="M655">
        <f>StudentData[[#This Row],[Academic_Score]]*60%+StudentData[[#This Row],[Engagement_Score]]*30%+MIN(StudentData[[#This Row],[Study_Hours_per_Week]],20)/20*100*10%</f>
        <v>64.882000000000005</v>
      </c>
      <c r="N655" s="3" t="str" cm="1">
        <f t="array" ref="N655">_xlfn.IFS(StudentData[[#This Row],[Success_Score]]&gt;=85,"Exceptional",StudentData[[#This Row],[Success_Score]]&gt;=70,"Strong",StudentData[[#This Row],[Success_Score]]&gt;=55,"Developing",TRUE,"Needs Improvement")</f>
        <v>Developing</v>
      </c>
      <c r="O655" s="3" t="str">
        <f t="shared" si="20"/>
        <v>Medium Risk</v>
      </c>
      <c r="P655" s="3" t="str">
        <f t="shared" si="21"/>
        <v>21-23</v>
      </c>
    </row>
    <row r="656" spans="1:16">
      <c r="A656" t="s">
        <v>690</v>
      </c>
      <c r="B656">
        <v>23</v>
      </c>
      <c r="C656" t="s">
        <v>4</v>
      </c>
      <c r="D656">
        <v>55.03</v>
      </c>
      <c r="E656">
        <v>0</v>
      </c>
      <c r="F656">
        <v>6.81</v>
      </c>
      <c r="G656">
        <v>53.11</v>
      </c>
      <c r="H656">
        <v>94.55</v>
      </c>
      <c r="I656">
        <v>11</v>
      </c>
      <c r="J656">
        <v>3</v>
      </c>
      <c r="K656">
        <f>(StudentData[[#This Row],[Midterm_Grade]]*40%)+(StudentData[[#This Row],[Final_Grade]]*60%)</f>
        <v>77.97399999999999</v>
      </c>
      <c r="L656">
        <f>StudentData[[#This Row],[Attendance_Percentage]]*40%+StudentData[[#This Row],[Assignments_Completed]]*2+StudentData[[#This Row],[Class_Participation]]*2+StudentData[[#This Row],[Projects_Submitted]]*4</f>
        <v>47.631999999999998</v>
      </c>
      <c r="M656">
        <f>StudentData[[#This Row],[Academic_Score]]*60%+StudentData[[#This Row],[Engagement_Score]]*30%+MIN(StudentData[[#This Row],[Study_Hours_per_Week]],20)/20*100*10%</f>
        <v>66.573999999999998</v>
      </c>
      <c r="N656" s="3" t="str" cm="1">
        <f t="array" ref="N656">_xlfn.IFS(StudentData[[#This Row],[Success_Score]]&gt;=85,"Exceptional",StudentData[[#This Row],[Success_Score]]&gt;=70,"Strong",StudentData[[#This Row],[Success_Score]]&gt;=55,"Developing",TRUE,"Needs Improvement")</f>
        <v>Developing</v>
      </c>
      <c r="O656" s="3" t="str">
        <f t="shared" si="20"/>
        <v>Medium Risk</v>
      </c>
      <c r="P656" s="3" t="str">
        <f t="shared" si="21"/>
        <v>21-23</v>
      </c>
    </row>
    <row r="657" spans="1:16">
      <c r="A657" t="s">
        <v>691</v>
      </c>
      <c r="B657">
        <v>22</v>
      </c>
      <c r="C657" t="s">
        <v>4</v>
      </c>
      <c r="D657">
        <v>61.99</v>
      </c>
      <c r="E657">
        <v>0</v>
      </c>
      <c r="F657">
        <v>9.4</v>
      </c>
      <c r="G657">
        <v>74.569999999999993</v>
      </c>
      <c r="H657">
        <v>63.21</v>
      </c>
      <c r="I657">
        <v>9</v>
      </c>
      <c r="J657">
        <v>1</v>
      </c>
      <c r="K657">
        <f>(StudentData[[#This Row],[Midterm_Grade]]*40%)+(StudentData[[#This Row],[Final_Grade]]*60%)</f>
        <v>67.754000000000005</v>
      </c>
      <c r="L657">
        <f>StudentData[[#This Row],[Attendance_Percentage]]*40%+StudentData[[#This Row],[Assignments_Completed]]*2+StudentData[[#This Row],[Class_Participation]]*2+StudentData[[#This Row],[Projects_Submitted]]*4</f>
        <v>47.596000000000004</v>
      </c>
      <c r="M657">
        <f>StudentData[[#This Row],[Academic_Score]]*60%+StudentData[[#This Row],[Engagement_Score]]*30%+MIN(StudentData[[#This Row],[Study_Hours_per_Week]],20)/20*100*10%</f>
        <v>59.431200000000004</v>
      </c>
      <c r="N657" s="3" t="str" cm="1">
        <f t="array" ref="N657">_xlfn.IFS(StudentData[[#This Row],[Success_Score]]&gt;=85,"Exceptional",StudentData[[#This Row],[Success_Score]]&gt;=70,"Strong",StudentData[[#This Row],[Success_Score]]&gt;=55,"Developing",TRUE,"Needs Improvement")</f>
        <v>Developing</v>
      </c>
      <c r="O657" s="3" t="str">
        <f t="shared" si="20"/>
        <v>Medium Risk</v>
      </c>
      <c r="P657" s="3" t="str">
        <f t="shared" si="21"/>
        <v>21-23</v>
      </c>
    </row>
    <row r="658" spans="1:16">
      <c r="A658" t="s">
        <v>692</v>
      </c>
      <c r="B658">
        <v>24</v>
      </c>
      <c r="C658" t="s">
        <v>5</v>
      </c>
      <c r="D658">
        <v>57.1</v>
      </c>
      <c r="E658">
        <v>2</v>
      </c>
      <c r="F658">
        <v>0.47</v>
      </c>
      <c r="G658">
        <v>82.59</v>
      </c>
      <c r="H658">
        <v>43.53</v>
      </c>
      <c r="I658">
        <v>10</v>
      </c>
      <c r="J658">
        <v>2</v>
      </c>
      <c r="K658">
        <f>(StudentData[[#This Row],[Midterm_Grade]]*40%)+(StudentData[[#This Row],[Final_Grade]]*60%)</f>
        <v>59.153999999999996</v>
      </c>
      <c r="L658">
        <f>StudentData[[#This Row],[Attendance_Percentage]]*40%+StudentData[[#This Row],[Assignments_Completed]]*2+StudentData[[#This Row],[Class_Participation]]*2+StudentData[[#This Row],[Projects_Submitted]]*4</f>
        <v>35.78</v>
      </c>
      <c r="M658">
        <f>StudentData[[#This Row],[Academic_Score]]*60%+StudentData[[#This Row],[Engagement_Score]]*30%+MIN(StudentData[[#This Row],[Study_Hours_per_Week]],20)/20*100*10%</f>
        <v>51.226399999999998</v>
      </c>
      <c r="N658" s="3" t="str" cm="1">
        <f t="array" ref="N65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58" s="3" t="str">
        <f t="shared" si="20"/>
        <v>Medium Risk</v>
      </c>
      <c r="P658" s="3" t="str">
        <f t="shared" si="21"/>
        <v>24-25</v>
      </c>
    </row>
    <row r="659" spans="1:16">
      <c r="A659" t="s">
        <v>693</v>
      </c>
      <c r="B659">
        <v>20</v>
      </c>
      <c r="C659" t="s">
        <v>4</v>
      </c>
      <c r="D659">
        <v>67.400000000000006</v>
      </c>
      <c r="E659">
        <v>9</v>
      </c>
      <c r="F659">
        <v>3.2</v>
      </c>
      <c r="G659">
        <v>69.66</v>
      </c>
      <c r="H659">
        <v>52.52</v>
      </c>
      <c r="I659">
        <v>6</v>
      </c>
      <c r="J659">
        <v>3</v>
      </c>
      <c r="K659">
        <f>(StudentData[[#This Row],[Midterm_Grade]]*40%)+(StudentData[[#This Row],[Final_Grade]]*60%)</f>
        <v>59.376000000000005</v>
      </c>
      <c r="L659">
        <f>StudentData[[#This Row],[Attendance_Percentage]]*40%+StudentData[[#This Row],[Assignments_Completed]]*2+StudentData[[#This Row],[Class_Participation]]*2+StudentData[[#This Row],[Projects_Submitted]]*4</f>
        <v>63.360000000000007</v>
      </c>
      <c r="M659">
        <f>StudentData[[#This Row],[Academic_Score]]*60%+StudentData[[#This Row],[Engagement_Score]]*30%+MIN(StudentData[[#This Row],[Study_Hours_per_Week]],20)/20*100*10%</f>
        <v>57.633600000000001</v>
      </c>
      <c r="N659" s="3" t="str" cm="1">
        <f t="array" ref="N659">_xlfn.IFS(StudentData[[#This Row],[Success_Score]]&gt;=85,"Exceptional",StudentData[[#This Row],[Success_Score]]&gt;=70,"Strong",StudentData[[#This Row],[Success_Score]]&gt;=55,"Developing",TRUE,"Needs Improvement")</f>
        <v>Developing</v>
      </c>
      <c r="O659" s="3" t="str">
        <f t="shared" si="20"/>
        <v>Medium Risk</v>
      </c>
      <c r="P659" s="3" t="str">
        <f t="shared" si="21"/>
        <v>18-20</v>
      </c>
    </row>
    <row r="660" spans="1:16">
      <c r="A660" t="s">
        <v>694</v>
      </c>
      <c r="B660">
        <v>21</v>
      </c>
      <c r="C660" t="s">
        <v>4</v>
      </c>
      <c r="D660">
        <v>72.52</v>
      </c>
      <c r="E660">
        <v>3</v>
      </c>
      <c r="F660">
        <v>4.38</v>
      </c>
      <c r="G660">
        <v>92.41</v>
      </c>
      <c r="H660">
        <v>19.96</v>
      </c>
      <c r="I660">
        <v>8</v>
      </c>
      <c r="J660">
        <v>2</v>
      </c>
      <c r="K660">
        <f>(StudentData[[#This Row],[Midterm_Grade]]*40%)+(StudentData[[#This Row],[Final_Grade]]*60%)</f>
        <v>48.94</v>
      </c>
      <c r="L660">
        <f>StudentData[[#This Row],[Attendance_Percentage]]*40%+StudentData[[#This Row],[Assignments_Completed]]*2+StudentData[[#This Row],[Class_Participation]]*2+StudentData[[#This Row],[Projects_Submitted]]*4</f>
        <v>51.767999999999994</v>
      </c>
      <c r="M660">
        <f>StudentData[[#This Row],[Academic_Score]]*60%+StudentData[[#This Row],[Engagement_Score]]*30%+MIN(StudentData[[#This Row],[Study_Hours_per_Week]],20)/20*100*10%</f>
        <v>48.89439999999999</v>
      </c>
      <c r="N660" s="3" t="str" cm="1">
        <f t="array" ref="N66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60" s="3" t="str">
        <f t="shared" si="20"/>
        <v>Medium Risk</v>
      </c>
      <c r="P660" s="3" t="str">
        <f t="shared" si="21"/>
        <v>21-23</v>
      </c>
    </row>
    <row r="661" spans="1:16">
      <c r="A661" t="s">
        <v>695</v>
      </c>
      <c r="B661">
        <v>19</v>
      </c>
      <c r="C661" t="s">
        <v>5</v>
      </c>
      <c r="D661">
        <v>87.44</v>
      </c>
      <c r="E661">
        <v>3</v>
      </c>
      <c r="F661">
        <v>8.99</v>
      </c>
      <c r="G661">
        <v>82.03</v>
      </c>
      <c r="H661">
        <v>75.05</v>
      </c>
      <c r="I661">
        <v>5</v>
      </c>
      <c r="J661">
        <v>4</v>
      </c>
      <c r="K661">
        <f>(StudentData[[#This Row],[Midterm_Grade]]*40%)+(StudentData[[#This Row],[Final_Grade]]*60%)</f>
        <v>77.841999999999999</v>
      </c>
      <c r="L661">
        <f>StudentData[[#This Row],[Attendance_Percentage]]*40%+StudentData[[#This Row],[Assignments_Completed]]*2+StudentData[[#This Row],[Class_Participation]]*2+StudentData[[#This Row],[Projects_Submitted]]*4</f>
        <v>74.956000000000003</v>
      </c>
      <c r="M661">
        <f>StudentData[[#This Row],[Academic_Score]]*60%+StudentData[[#This Row],[Engagement_Score]]*30%+MIN(StudentData[[#This Row],[Study_Hours_per_Week]],20)/20*100*10%</f>
        <v>71.691999999999993</v>
      </c>
      <c r="N661" s="3" t="str" cm="1">
        <f t="array" ref="N661">_xlfn.IFS(StudentData[[#This Row],[Success_Score]]&gt;=85,"Exceptional",StudentData[[#This Row],[Success_Score]]&gt;=70,"Strong",StudentData[[#This Row],[Success_Score]]&gt;=55,"Developing",TRUE,"Needs Improvement")</f>
        <v>Strong</v>
      </c>
      <c r="O661" s="3" t="str">
        <f t="shared" si="20"/>
        <v>Low Risk</v>
      </c>
      <c r="P661" s="3" t="str">
        <f t="shared" si="21"/>
        <v>18-20</v>
      </c>
    </row>
    <row r="662" spans="1:16">
      <c r="A662" t="s">
        <v>696</v>
      </c>
      <c r="B662">
        <v>25</v>
      </c>
      <c r="C662" t="s">
        <v>4</v>
      </c>
      <c r="D662">
        <v>82.56</v>
      </c>
      <c r="E662">
        <v>1</v>
      </c>
      <c r="F662">
        <v>9.6199999999999992</v>
      </c>
      <c r="G662">
        <v>56.19</v>
      </c>
      <c r="H662">
        <v>74.64</v>
      </c>
      <c r="I662">
        <v>18</v>
      </c>
      <c r="J662">
        <v>0</v>
      </c>
      <c r="K662">
        <f>(StudentData[[#This Row],[Midterm_Grade]]*40%)+(StudentData[[#This Row],[Final_Grade]]*60%)</f>
        <v>67.259999999999991</v>
      </c>
      <c r="L662">
        <f>StudentData[[#This Row],[Attendance_Percentage]]*40%+StudentData[[#This Row],[Assignments_Completed]]*2+StudentData[[#This Row],[Class_Participation]]*2+StudentData[[#This Row],[Projects_Submitted]]*4</f>
        <v>54.263999999999996</v>
      </c>
      <c r="M662">
        <f>StudentData[[#This Row],[Academic_Score]]*60%+StudentData[[#This Row],[Engagement_Score]]*30%+MIN(StudentData[[#This Row],[Study_Hours_per_Week]],20)/20*100*10%</f>
        <v>65.635199999999998</v>
      </c>
      <c r="N662" s="3" t="str" cm="1">
        <f t="array" ref="N662">_xlfn.IFS(StudentData[[#This Row],[Success_Score]]&gt;=85,"Exceptional",StudentData[[#This Row],[Success_Score]]&gt;=70,"Strong",StudentData[[#This Row],[Success_Score]]&gt;=55,"Developing",TRUE,"Needs Improvement")</f>
        <v>Developing</v>
      </c>
      <c r="O662" s="3" t="str">
        <f t="shared" si="20"/>
        <v>Low Risk</v>
      </c>
      <c r="P662" s="3" t="str">
        <f t="shared" si="21"/>
        <v>24-25</v>
      </c>
    </row>
    <row r="663" spans="1:16">
      <c r="A663" t="s">
        <v>697</v>
      </c>
      <c r="B663">
        <v>20</v>
      </c>
      <c r="C663" t="s">
        <v>5</v>
      </c>
      <c r="D663">
        <v>81.05</v>
      </c>
      <c r="E663">
        <v>0</v>
      </c>
      <c r="F663">
        <v>4.4400000000000004</v>
      </c>
      <c r="G663">
        <v>67.14</v>
      </c>
      <c r="H663">
        <v>14.55</v>
      </c>
      <c r="I663">
        <v>15</v>
      </c>
      <c r="J663">
        <v>3</v>
      </c>
      <c r="K663">
        <f>(StudentData[[#This Row],[Midterm_Grade]]*40%)+(StudentData[[#This Row],[Final_Grade]]*60%)</f>
        <v>35.585999999999999</v>
      </c>
      <c r="L663">
        <f>StudentData[[#This Row],[Attendance_Percentage]]*40%+StudentData[[#This Row],[Assignments_Completed]]*2+StudentData[[#This Row],[Class_Participation]]*2+StudentData[[#This Row],[Projects_Submitted]]*4</f>
        <v>53.300000000000004</v>
      </c>
      <c r="M663">
        <f>StudentData[[#This Row],[Academic_Score]]*60%+StudentData[[#This Row],[Engagement_Score]]*30%+MIN(StudentData[[#This Row],[Study_Hours_per_Week]],20)/20*100*10%</f>
        <v>44.8416</v>
      </c>
      <c r="N663" s="3" t="str" cm="1">
        <f t="array" ref="N66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63" s="3" t="str">
        <f t="shared" si="20"/>
        <v>Medium Risk</v>
      </c>
      <c r="P663" s="3" t="str">
        <f t="shared" si="21"/>
        <v>18-20</v>
      </c>
    </row>
    <row r="664" spans="1:16">
      <c r="A664" t="s">
        <v>698</v>
      </c>
      <c r="B664">
        <v>22</v>
      </c>
      <c r="C664" t="s">
        <v>5</v>
      </c>
      <c r="D664">
        <v>67.62</v>
      </c>
      <c r="E664">
        <v>2</v>
      </c>
      <c r="F664">
        <v>7.5</v>
      </c>
      <c r="G664">
        <v>92.63</v>
      </c>
      <c r="H664">
        <v>87.8</v>
      </c>
      <c r="I664">
        <v>14</v>
      </c>
      <c r="J664">
        <v>1</v>
      </c>
      <c r="K664">
        <f>(StudentData[[#This Row],[Midterm_Grade]]*40%)+(StudentData[[#This Row],[Final_Grade]]*60%)</f>
        <v>89.731999999999999</v>
      </c>
      <c r="L664">
        <f>StudentData[[#This Row],[Attendance_Percentage]]*40%+StudentData[[#This Row],[Assignments_Completed]]*2+StudentData[[#This Row],[Class_Participation]]*2+StudentData[[#This Row],[Projects_Submitted]]*4</f>
        <v>50.048000000000002</v>
      </c>
      <c r="M664">
        <f>StudentData[[#This Row],[Academic_Score]]*60%+StudentData[[#This Row],[Engagement_Score]]*30%+MIN(StudentData[[#This Row],[Study_Hours_per_Week]],20)/20*100*10%</f>
        <v>75.8536</v>
      </c>
      <c r="N664" s="3" t="str" cm="1">
        <f t="array" ref="N664">_xlfn.IFS(StudentData[[#This Row],[Success_Score]]&gt;=85,"Exceptional",StudentData[[#This Row],[Success_Score]]&gt;=70,"Strong",StudentData[[#This Row],[Success_Score]]&gt;=55,"Developing",TRUE,"Needs Improvement")</f>
        <v>Strong</v>
      </c>
      <c r="O664" s="3" t="str">
        <f t="shared" si="20"/>
        <v>Medium Risk</v>
      </c>
      <c r="P664" s="3" t="str">
        <f t="shared" si="21"/>
        <v>21-23</v>
      </c>
    </row>
    <row r="665" spans="1:16">
      <c r="A665" t="s">
        <v>699</v>
      </c>
      <c r="B665">
        <v>23</v>
      </c>
      <c r="C665" t="s">
        <v>4</v>
      </c>
      <c r="D665">
        <v>92.07</v>
      </c>
      <c r="E665">
        <v>10</v>
      </c>
      <c r="F665">
        <v>5.32</v>
      </c>
      <c r="G665">
        <v>61.92</v>
      </c>
      <c r="H665">
        <v>26.92</v>
      </c>
      <c r="I665">
        <v>6</v>
      </c>
      <c r="J665">
        <v>4</v>
      </c>
      <c r="K665">
        <f>(StudentData[[#This Row],[Midterm_Grade]]*40%)+(StudentData[[#This Row],[Final_Grade]]*60%)</f>
        <v>40.92</v>
      </c>
      <c r="L665">
        <f>StudentData[[#This Row],[Attendance_Percentage]]*40%+StudentData[[#This Row],[Assignments_Completed]]*2+StudentData[[#This Row],[Class_Participation]]*2+StudentData[[#This Row],[Projects_Submitted]]*4</f>
        <v>83.467999999999989</v>
      </c>
      <c r="M665">
        <f>StudentData[[#This Row],[Academic_Score]]*60%+StudentData[[#This Row],[Engagement_Score]]*30%+MIN(StudentData[[#This Row],[Study_Hours_per_Week]],20)/20*100*10%</f>
        <v>52.592399999999998</v>
      </c>
      <c r="N665" s="3" t="str" cm="1">
        <f t="array" ref="N66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65" s="3" t="str">
        <f t="shared" si="20"/>
        <v>Medium Risk</v>
      </c>
      <c r="P665" s="3" t="str">
        <f t="shared" si="21"/>
        <v>21-23</v>
      </c>
    </row>
    <row r="666" spans="1:16">
      <c r="A666" t="s">
        <v>700</v>
      </c>
      <c r="B666">
        <v>18</v>
      </c>
      <c r="C666" t="s">
        <v>5</v>
      </c>
      <c r="D666">
        <v>73.56</v>
      </c>
      <c r="E666">
        <v>3</v>
      </c>
      <c r="F666">
        <v>5.38</v>
      </c>
      <c r="G666">
        <v>82.48</v>
      </c>
      <c r="H666">
        <v>98.23</v>
      </c>
      <c r="I666">
        <v>15</v>
      </c>
      <c r="J666">
        <v>3</v>
      </c>
      <c r="K666">
        <f>(StudentData[[#This Row],[Midterm_Grade]]*40%)+(StudentData[[#This Row],[Final_Grade]]*60%)</f>
        <v>91.93</v>
      </c>
      <c r="L666">
        <f>StudentData[[#This Row],[Attendance_Percentage]]*40%+StudentData[[#This Row],[Assignments_Completed]]*2+StudentData[[#This Row],[Class_Participation]]*2+StudentData[[#This Row],[Projects_Submitted]]*4</f>
        <v>58.184000000000005</v>
      </c>
      <c r="M666">
        <f>StudentData[[#This Row],[Academic_Score]]*60%+StudentData[[#This Row],[Engagement_Score]]*30%+MIN(StudentData[[#This Row],[Study_Hours_per_Week]],20)/20*100*10%</f>
        <v>80.113200000000006</v>
      </c>
      <c r="N666" s="3" t="str" cm="1">
        <f t="array" ref="N666">_xlfn.IFS(StudentData[[#This Row],[Success_Score]]&gt;=85,"Exceptional",StudentData[[#This Row],[Success_Score]]&gt;=70,"Strong",StudentData[[#This Row],[Success_Score]]&gt;=55,"Developing",TRUE,"Needs Improvement")</f>
        <v>Strong</v>
      </c>
      <c r="O666" s="3" t="str">
        <f t="shared" si="20"/>
        <v>Low Risk</v>
      </c>
      <c r="P666" s="3" t="str">
        <f t="shared" si="21"/>
        <v>18-20</v>
      </c>
    </row>
    <row r="667" spans="1:16">
      <c r="A667" t="s">
        <v>701</v>
      </c>
      <c r="B667">
        <v>22</v>
      </c>
      <c r="C667" t="s">
        <v>4</v>
      </c>
      <c r="D667">
        <v>98.96</v>
      </c>
      <c r="E667">
        <v>2</v>
      </c>
      <c r="F667">
        <v>2.78</v>
      </c>
      <c r="G667">
        <v>68.88</v>
      </c>
      <c r="H667">
        <v>38.29</v>
      </c>
      <c r="I667">
        <v>4</v>
      </c>
      <c r="J667">
        <v>1</v>
      </c>
      <c r="K667">
        <f>(StudentData[[#This Row],[Midterm_Grade]]*40%)+(StudentData[[#This Row],[Final_Grade]]*60%)</f>
        <v>50.525999999999996</v>
      </c>
      <c r="L667">
        <f>StudentData[[#This Row],[Attendance_Percentage]]*40%+StudentData[[#This Row],[Assignments_Completed]]*2+StudentData[[#This Row],[Class_Participation]]*2+StudentData[[#This Row],[Projects_Submitted]]*4</f>
        <v>53.144000000000005</v>
      </c>
      <c r="M667">
        <f>StudentData[[#This Row],[Academic_Score]]*60%+StudentData[[#This Row],[Engagement_Score]]*30%+MIN(StudentData[[#This Row],[Study_Hours_per_Week]],20)/20*100*10%</f>
        <v>48.258799999999994</v>
      </c>
      <c r="N667" s="3" t="str" cm="1">
        <f t="array" ref="N66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67" s="3" t="str">
        <f t="shared" si="20"/>
        <v>Medium Risk</v>
      </c>
      <c r="P667" s="3" t="str">
        <f t="shared" si="21"/>
        <v>21-23</v>
      </c>
    </row>
    <row r="668" spans="1:16">
      <c r="A668" t="s">
        <v>702</v>
      </c>
      <c r="B668">
        <v>23</v>
      </c>
      <c r="C668" t="s">
        <v>4</v>
      </c>
      <c r="D668">
        <v>81.709999999999994</v>
      </c>
      <c r="E668">
        <v>7</v>
      </c>
      <c r="F668">
        <v>2.17</v>
      </c>
      <c r="G668">
        <v>55.19</v>
      </c>
      <c r="H668">
        <v>17.79</v>
      </c>
      <c r="I668">
        <v>15</v>
      </c>
      <c r="J668">
        <v>3</v>
      </c>
      <c r="K668">
        <f>(StudentData[[#This Row],[Midterm_Grade]]*40%)+(StudentData[[#This Row],[Final_Grade]]*60%)</f>
        <v>32.75</v>
      </c>
      <c r="L668">
        <f>StudentData[[#This Row],[Attendance_Percentage]]*40%+StudentData[[#This Row],[Assignments_Completed]]*2+StudentData[[#This Row],[Class_Participation]]*2+StudentData[[#This Row],[Projects_Submitted]]*4</f>
        <v>63.024000000000001</v>
      </c>
      <c r="M668">
        <f>StudentData[[#This Row],[Academic_Score]]*60%+StudentData[[#This Row],[Engagement_Score]]*30%+MIN(StudentData[[#This Row],[Study_Hours_per_Week]],20)/20*100*10%</f>
        <v>46.057199999999995</v>
      </c>
      <c r="N668" s="3" t="str" cm="1">
        <f t="array" ref="N66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68" s="3" t="str">
        <f t="shared" si="20"/>
        <v>Medium Risk</v>
      </c>
      <c r="P668" s="3" t="str">
        <f t="shared" si="21"/>
        <v>21-23</v>
      </c>
    </row>
    <row r="669" spans="1:16">
      <c r="A669" t="s">
        <v>703</v>
      </c>
      <c r="B669">
        <v>21</v>
      </c>
      <c r="C669" t="s">
        <v>4</v>
      </c>
      <c r="D669">
        <v>56.31</v>
      </c>
      <c r="E669">
        <v>9</v>
      </c>
      <c r="F669">
        <v>2.88</v>
      </c>
      <c r="G669">
        <v>24.18</v>
      </c>
      <c r="H669">
        <v>35.17</v>
      </c>
      <c r="I669">
        <v>0</v>
      </c>
      <c r="J669">
        <v>4</v>
      </c>
      <c r="K669">
        <f>(StudentData[[#This Row],[Midterm_Grade]]*40%)+(StudentData[[#This Row],[Final_Grade]]*60%)</f>
        <v>30.774000000000001</v>
      </c>
      <c r="L669">
        <f>StudentData[[#This Row],[Attendance_Percentage]]*40%+StudentData[[#This Row],[Assignments_Completed]]*2+StudentData[[#This Row],[Class_Participation]]*2+StudentData[[#This Row],[Projects_Submitted]]*4</f>
        <v>62.283999999999999</v>
      </c>
      <c r="M669">
        <f>StudentData[[#This Row],[Academic_Score]]*60%+StudentData[[#This Row],[Engagement_Score]]*30%+MIN(StudentData[[#This Row],[Study_Hours_per_Week]],20)/20*100*10%</f>
        <v>37.1496</v>
      </c>
      <c r="N669" s="3" t="str" cm="1">
        <f t="array" ref="N66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69" s="3" t="str">
        <f t="shared" si="20"/>
        <v>High Risk</v>
      </c>
      <c r="P669" s="3" t="str">
        <f t="shared" si="21"/>
        <v>21-23</v>
      </c>
    </row>
    <row r="670" spans="1:16">
      <c r="A670" t="s">
        <v>704</v>
      </c>
      <c r="B670">
        <v>22</v>
      </c>
      <c r="C670" t="s">
        <v>5</v>
      </c>
      <c r="D670">
        <v>83.81</v>
      </c>
      <c r="E670">
        <v>0</v>
      </c>
      <c r="F670">
        <v>5.56</v>
      </c>
      <c r="G670">
        <v>42.6</v>
      </c>
      <c r="H670">
        <v>44.02</v>
      </c>
      <c r="I670">
        <v>18</v>
      </c>
      <c r="J670">
        <v>3</v>
      </c>
      <c r="K670">
        <f>(StudentData[[#This Row],[Midterm_Grade]]*40%)+(StudentData[[#This Row],[Final_Grade]]*60%)</f>
        <v>43.452000000000005</v>
      </c>
      <c r="L670">
        <f>StudentData[[#This Row],[Attendance_Percentage]]*40%+StudentData[[#This Row],[Assignments_Completed]]*2+StudentData[[#This Row],[Class_Participation]]*2+StudentData[[#This Row],[Projects_Submitted]]*4</f>
        <v>56.643999999999998</v>
      </c>
      <c r="M670">
        <f>StudentData[[#This Row],[Academic_Score]]*60%+StudentData[[#This Row],[Engagement_Score]]*30%+MIN(StudentData[[#This Row],[Study_Hours_per_Week]],20)/20*100*10%</f>
        <v>52.064399999999999</v>
      </c>
      <c r="N670" s="3" t="str" cm="1">
        <f t="array" ref="N67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70" s="3" t="str">
        <f t="shared" si="20"/>
        <v>Medium Risk</v>
      </c>
      <c r="P670" s="3" t="str">
        <f t="shared" si="21"/>
        <v>21-23</v>
      </c>
    </row>
    <row r="671" spans="1:16">
      <c r="A671" t="s">
        <v>705</v>
      </c>
      <c r="B671">
        <v>24</v>
      </c>
      <c r="C671" t="s">
        <v>5</v>
      </c>
      <c r="D671">
        <v>66.260000000000005</v>
      </c>
      <c r="E671">
        <v>1</v>
      </c>
      <c r="F671">
        <v>0.28999999999999998</v>
      </c>
      <c r="G671">
        <v>96.77</v>
      </c>
      <c r="H671">
        <v>6.93</v>
      </c>
      <c r="I671">
        <v>4</v>
      </c>
      <c r="J671">
        <v>2</v>
      </c>
      <c r="K671">
        <f>(StudentData[[#This Row],[Midterm_Grade]]*40%)+(StudentData[[#This Row],[Final_Grade]]*60%)</f>
        <v>42.866</v>
      </c>
      <c r="L671">
        <f>StudentData[[#This Row],[Attendance_Percentage]]*40%+StudentData[[#This Row],[Assignments_Completed]]*2+StudentData[[#This Row],[Class_Participation]]*2+StudentData[[#This Row],[Projects_Submitted]]*4</f>
        <v>37.084000000000003</v>
      </c>
      <c r="M671">
        <f>StudentData[[#This Row],[Academic_Score]]*60%+StudentData[[#This Row],[Engagement_Score]]*30%+MIN(StudentData[[#This Row],[Study_Hours_per_Week]],20)/20*100*10%</f>
        <v>38.844799999999999</v>
      </c>
      <c r="N671" s="3" t="str" cm="1">
        <f t="array" ref="N67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71" s="3" t="str">
        <f t="shared" si="20"/>
        <v>Medium Risk</v>
      </c>
      <c r="P671" s="3" t="str">
        <f t="shared" si="21"/>
        <v>24-25</v>
      </c>
    </row>
    <row r="672" spans="1:16">
      <c r="A672" t="s">
        <v>706</v>
      </c>
      <c r="B672">
        <v>18</v>
      </c>
      <c r="C672" t="s">
        <v>4</v>
      </c>
      <c r="D672">
        <v>84.32</v>
      </c>
      <c r="E672">
        <v>6</v>
      </c>
      <c r="F672">
        <v>9.07</v>
      </c>
      <c r="G672">
        <v>65.78</v>
      </c>
      <c r="H672">
        <v>57.82</v>
      </c>
      <c r="I672">
        <v>6</v>
      </c>
      <c r="J672">
        <v>4</v>
      </c>
      <c r="K672">
        <f>(StudentData[[#This Row],[Midterm_Grade]]*40%)+(StudentData[[#This Row],[Final_Grade]]*60%)</f>
        <v>61.004000000000005</v>
      </c>
      <c r="L672">
        <f>StudentData[[#This Row],[Attendance_Percentage]]*40%+StudentData[[#This Row],[Assignments_Completed]]*2+StudentData[[#This Row],[Class_Participation]]*2+StudentData[[#This Row],[Projects_Submitted]]*4</f>
        <v>79.867999999999995</v>
      </c>
      <c r="M672">
        <f>StudentData[[#This Row],[Academic_Score]]*60%+StudentData[[#This Row],[Engagement_Score]]*30%+MIN(StudentData[[#This Row],[Study_Hours_per_Week]],20)/20*100*10%</f>
        <v>63.562799999999996</v>
      </c>
      <c r="N672" s="3" t="str" cm="1">
        <f t="array" ref="N672">_xlfn.IFS(StudentData[[#This Row],[Success_Score]]&gt;=85,"Exceptional",StudentData[[#This Row],[Success_Score]]&gt;=70,"Strong",StudentData[[#This Row],[Success_Score]]&gt;=55,"Developing",TRUE,"Needs Improvement")</f>
        <v>Developing</v>
      </c>
      <c r="O672" s="3" t="str">
        <f t="shared" si="20"/>
        <v>Low Risk</v>
      </c>
      <c r="P672" s="3" t="str">
        <f t="shared" si="21"/>
        <v>18-20</v>
      </c>
    </row>
    <row r="673" spans="1:16">
      <c r="A673" t="s">
        <v>707</v>
      </c>
      <c r="B673">
        <v>23</v>
      </c>
      <c r="C673" t="s">
        <v>6</v>
      </c>
      <c r="D673">
        <v>53.48</v>
      </c>
      <c r="E673">
        <v>3</v>
      </c>
      <c r="F673">
        <v>1.56</v>
      </c>
      <c r="G673">
        <v>56.44</v>
      </c>
      <c r="H673">
        <v>59.76</v>
      </c>
      <c r="I673">
        <v>18</v>
      </c>
      <c r="J673">
        <v>3</v>
      </c>
      <c r="K673">
        <f>(StudentData[[#This Row],[Midterm_Grade]]*40%)+(StudentData[[#This Row],[Final_Grade]]*60%)</f>
        <v>58.431999999999995</v>
      </c>
      <c r="L673">
        <f>StudentData[[#This Row],[Attendance_Percentage]]*40%+StudentData[[#This Row],[Assignments_Completed]]*2+StudentData[[#This Row],[Class_Participation]]*2+StudentData[[#This Row],[Projects_Submitted]]*4</f>
        <v>42.512</v>
      </c>
      <c r="M673">
        <f>StudentData[[#This Row],[Academic_Score]]*60%+StudentData[[#This Row],[Engagement_Score]]*30%+MIN(StudentData[[#This Row],[Study_Hours_per_Week]],20)/20*100*10%</f>
        <v>56.812799999999996</v>
      </c>
      <c r="N673" s="3" t="str" cm="1">
        <f t="array" ref="N673">_xlfn.IFS(StudentData[[#This Row],[Success_Score]]&gt;=85,"Exceptional",StudentData[[#This Row],[Success_Score]]&gt;=70,"Strong",StudentData[[#This Row],[Success_Score]]&gt;=55,"Developing",TRUE,"Needs Improvement")</f>
        <v>Developing</v>
      </c>
      <c r="O673" s="3" t="str">
        <f t="shared" si="20"/>
        <v>Medium Risk</v>
      </c>
      <c r="P673" s="3" t="str">
        <f t="shared" si="21"/>
        <v>21-23</v>
      </c>
    </row>
    <row r="674" spans="1:16">
      <c r="A674" t="s">
        <v>708</v>
      </c>
      <c r="B674">
        <v>23</v>
      </c>
      <c r="C674" t="s">
        <v>4</v>
      </c>
      <c r="D674">
        <v>58.74</v>
      </c>
      <c r="E674">
        <v>7</v>
      </c>
      <c r="F674">
        <v>2.2000000000000002</v>
      </c>
      <c r="G674">
        <v>93.3</v>
      </c>
      <c r="H674">
        <v>73.89</v>
      </c>
      <c r="I674">
        <v>4</v>
      </c>
      <c r="J674">
        <v>0</v>
      </c>
      <c r="K674">
        <f>(StudentData[[#This Row],[Midterm_Grade]]*40%)+(StudentData[[#This Row],[Final_Grade]]*60%)</f>
        <v>81.653999999999996</v>
      </c>
      <c r="L674">
        <f>StudentData[[#This Row],[Attendance_Percentage]]*40%+StudentData[[#This Row],[Assignments_Completed]]*2+StudentData[[#This Row],[Class_Participation]]*2+StudentData[[#This Row],[Projects_Submitted]]*4</f>
        <v>41.896000000000001</v>
      </c>
      <c r="M674">
        <f>StudentData[[#This Row],[Academic_Score]]*60%+StudentData[[#This Row],[Engagement_Score]]*30%+MIN(StudentData[[#This Row],[Study_Hours_per_Week]],20)/20*100*10%</f>
        <v>63.561199999999999</v>
      </c>
      <c r="N674" s="3" t="str" cm="1">
        <f t="array" ref="N674">_xlfn.IFS(StudentData[[#This Row],[Success_Score]]&gt;=85,"Exceptional",StudentData[[#This Row],[Success_Score]]&gt;=70,"Strong",StudentData[[#This Row],[Success_Score]]&gt;=55,"Developing",TRUE,"Needs Improvement")</f>
        <v>Developing</v>
      </c>
      <c r="O674" s="3" t="str">
        <f t="shared" si="20"/>
        <v>Medium Risk</v>
      </c>
      <c r="P674" s="3" t="str">
        <f t="shared" si="21"/>
        <v>21-23</v>
      </c>
    </row>
    <row r="675" spans="1:16">
      <c r="A675" t="s">
        <v>709</v>
      </c>
      <c r="B675">
        <v>23</v>
      </c>
      <c r="C675" t="s">
        <v>5</v>
      </c>
      <c r="D675">
        <v>92.79</v>
      </c>
      <c r="E675">
        <v>10</v>
      </c>
      <c r="F675">
        <v>5.18</v>
      </c>
      <c r="G675">
        <v>58.65</v>
      </c>
      <c r="H675">
        <v>2.92</v>
      </c>
      <c r="I675">
        <v>16</v>
      </c>
      <c r="J675">
        <v>3</v>
      </c>
      <c r="K675">
        <f>(StudentData[[#This Row],[Midterm_Grade]]*40%)+(StudentData[[#This Row],[Final_Grade]]*60%)</f>
        <v>25.212</v>
      </c>
      <c r="L675">
        <f>StudentData[[#This Row],[Attendance_Percentage]]*40%+StudentData[[#This Row],[Assignments_Completed]]*2+StudentData[[#This Row],[Class_Participation]]*2+StudentData[[#This Row],[Projects_Submitted]]*4</f>
        <v>79.475999999999999</v>
      </c>
      <c r="M675">
        <f>StudentData[[#This Row],[Academic_Score]]*60%+StudentData[[#This Row],[Engagement_Score]]*30%+MIN(StudentData[[#This Row],[Study_Hours_per_Week]],20)/20*100*10%</f>
        <v>46.97</v>
      </c>
      <c r="N675" s="3" t="str" cm="1">
        <f t="array" ref="N67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75" s="3" t="str">
        <f t="shared" si="20"/>
        <v>Medium Risk</v>
      </c>
      <c r="P675" s="3" t="str">
        <f t="shared" si="21"/>
        <v>21-23</v>
      </c>
    </row>
    <row r="676" spans="1:16">
      <c r="A676" t="s">
        <v>710</v>
      </c>
      <c r="B676">
        <v>21</v>
      </c>
      <c r="C676" t="s">
        <v>4</v>
      </c>
      <c r="D676">
        <v>61.36</v>
      </c>
      <c r="E676">
        <v>2</v>
      </c>
      <c r="F676">
        <v>7.1</v>
      </c>
      <c r="G676">
        <v>52.61</v>
      </c>
      <c r="H676">
        <v>54.12</v>
      </c>
      <c r="I676">
        <v>7</v>
      </c>
      <c r="J676">
        <v>2</v>
      </c>
      <c r="K676">
        <f>(StudentData[[#This Row],[Midterm_Grade]]*40%)+(StudentData[[#This Row],[Final_Grade]]*60%)</f>
        <v>53.515999999999991</v>
      </c>
      <c r="L676">
        <f>StudentData[[#This Row],[Attendance_Percentage]]*40%+StudentData[[#This Row],[Assignments_Completed]]*2+StudentData[[#This Row],[Class_Participation]]*2+StudentData[[#This Row],[Projects_Submitted]]*4</f>
        <v>50.744</v>
      </c>
      <c r="M676">
        <f>StudentData[[#This Row],[Academic_Score]]*60%+StudentData[[#This Row],[Engagement_Score]]*30%+MIN(StudentData[[#This Row],[Study_Hours_per_Week]],20)/20*100*10%</f>
        <v>50.832799999999992</v>
      </c>
      <c r="N676" s="3" t="str" cm="1">
        <f t="array" ref="N67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76" s="3" t="str">
        <f t="shared" si="20"/>
        <v>Medium Risk</v>
      </c>
      <c r="P676" s="3" t="str">
        <f t="shared" si="21"/>
        <v>21-23</v>
      </c>
    </row>
    <row r="677" spans="1:16">
      <c r="A677" t="s">
        <v>711</v>
      </c>
      <c r="B677">
        <v>22</v>
      </c>
      <c r="C677" t="s">
        <v>4</v>
      </c>
      <c r="D677">
        <v>91.85</v>
      </c>
      <c r="E677">
        <v>5</v>
      </c>
      <c r="F677">
        <v>0.96</v>
      </c>
      <c r="G677">
        <v>75.930000000000007</v>
      </c>
      <c r="H677">
        <v>5.29</v>
      </c>
      <c r="I677">
        <v>0</v>
      </c>
      <c r="J677">
        <v>1</v>
      </c>
      <c r="K677">
        <f>(StudentData[[#This Row],[Midterm_Grade]]*40%)+(StudentData[[#This Row],[Final_Grade]]*60%)</f>
        <v>33.546000000000006</v>
      </c>
      <c r="L677">
        <f>StudentData[[#This Row],[Attendance_Percentage]]*40%+StudentData[[#This Row],[Assignments_Completed]]*2+StudentData[[#This Row],[Class_Participation]]*2+StudentData[[#This Row],[Projects_Submitted]]*4</f>
        <v>52.660000000000004</v>
      </c>
      <c r="M677">
        <f>StudentData[[#This Row],[Academic_Score]]*60%+StudentData[[#This Row],[Engagement_Score]]*30%+MIN(StudentData[[#This Row],[Study_Hours_per_Week]],20)/20*100*10%</f>
        <v>35.925600000000003</v>
      </c>
      <c r="N677" s="3" t="str" cm="1">
        <f t="array" ref="N67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77" s="3" t="str">
        <f t="shared" si="20"/>
        <v>Medium Risk</v>
      </c>
      <c r="P677" s="3" t="str">
        <f t="shared" si="21"/>
        <v>21-23</v>
      </c>
    </row>
    <row r="678" spans="1:16">
      <c r="A678" t="s">
        <v>712</v>
      </c>
      <c r="B678">
        <v>21</v>
      </c>
      <c r="C678" t="s">
        <v>4</v>
      </c>
      <c r="D678">
        <v>63.96</v>
      </c>
      <c r="E678">
        <v>8</v>
      </c>
      <c r="F678">
        <v>3.18</v>
      </c>
      <c r="G678">
        <v>71.27</v>
      </c>
      <c r="H678">
        <v>70.11</v>
      </c>
      <c r="I678">
        <v>1</v>
      </c>
      <c r="J678">
        <v>1</v>
      </c>
      <c r="K678">
        <f>(StudentData[[#This Row],[Midterm_Grade]]*40%)+(StudentData[[#This Row],[Final_Grade]]*60%)</f>
        <v>70.573999999999998</v>
      </c>
      <c r="L678">
        <f>StudentData[[#This Row],[Attendance_Percentage]]*40%+StudentData[[#This Row],[Assignments_Completed]]*2+StudentData[[#This Row],[Class_Participation]]*2+StudentData[[#This Row],[Projects_Submitted]]*4</f>
        <v>51.944000000000003</v>
      </c>
      <c r="M678">
        <f>StudentData[[#This Row],[Academic_Score]]*60%+StudentData[[#This Row],[Engagement_Score]]*30%+MIN(StudentData[[#This Row],[Study_Hours_per_Week]],20)/20*100*10%</f>
        <v>58.427599999999998</v>
      </c>
      <c r="N678" s="3" t="str" cm="1">
        <f t="array" ref="N678">_xlfn.IFS(StudentData[[#This Row],[Success_Score]]&gt;=85,"Exceptional",StudentData[[#This Row],[Success_Score]]&gt;=70,"Strong",StudentData[[#This Row],[Success_Score]]&gt;=55,"Developing",TRUE,"Needs Improvement")</f>
        <v>Developing</v>
      </c>
      <c r="O678" s="3" t="str">
        <f t="shared" si="20"/>
        <v>Medium Risk</v>
      </c>
      <c r="P678" s="3" t="str">
        <f t="shared" si="21"/>
        <v>21-23</v>
      </c>
    </row>
    <row r="679" spans="1:16">
      <c r="A679" t="s">
        <v>713</v>
      </c>
      <c r="B679">
        <v>25</v>
      </c>
      <c r="C679" t="s">
        <v>5</v>
      </c>
      <c r="D679">
        <v>82.14</v>
      </c>
      <c r="E679">
        <v>0</v>
      </c>
      <c r="F679">
        <v>9.69</v>
      </c>
      <c r="G679">
        <v>19.32</v>
      </c>
      <c r="H679">
        <v>5.57</v>
      </c>
      <c r="I679">
        <v>14</v>
      </c>
      <c r="J679">
        <v>1</v>
      </c>
      <c r="K679">
        <f>(StudentData[[#This Row],[Midterm_Grade]]*40%)+(StudentData[[#This Row],[Final_Grade]]*60%)</f>
        <v>11.07</v>
      </c>
      <c r="L679">
        <f>StudentData[[#This Row],[Attendance_Percentage]]*40%+StudentData[[#This Row],[Assignments_Completed]]*2+StudentData[[#This Row],[Class_Participation]]*2+StudentData[[#This Row],[Projects_Submitted]]*4</f>
        <v>56.236000000000004</v>
      </c>
      <c r="M679">
        <f>StudentData[[#This Row],[Academic_Score]]*60%+StudentData[[#This Row],[Engagement_Score]]*30%+MIN(StudentData[[#This Row],[Study_Hours_per_Week]],20)/20*100*10%</f>
        <v>30.512799999999999</v>
      </c>
      <c r="N679" s="3" t="str" cm="1">
        <f t="array" ref="N67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79" s="3" t="str">
        <f t="shared" si="20"/>
        <v>Medium Risk</v>
      </c>
      <c r="P679" s="3" t="str">
        <f t="shared" si="21"/>
        <v>24-25</v>
      </c>
    </row>
    <row r="680" spans="1:16">
      <c r="A680" t="s">
        <v>714</v>
      </c>
      <c r="B680">
        <v>19</v>
      </c>
      <c r="C680" t="s">
        <v>4</v>
      </c>
      <c r="D680">
        <v>84.71</v>
      </c>
      <c r="E680">
        <v>0</v>
      </c>
      <c r="F680">
        <v>2.62</v>
      </c>
      <c r="G680">
        <v>47.13</v>
      </c>
      <c r="H680">
        <v>91.17</v>
      </c>
      <c r="I680">
        <v>19</v>
      </c>
      <c r="J680">
        <v>0</v>
      </c>
      <c r="K680">
        <f>(StudentData[[#This Row],[Midterm_Grade]]*40%)+(StudentData[[#This Row],[Final_Grade]]*60%)</f>
        <v>73.554000000000002</v>
      </c>
      <c r="L680">
        <f>StudentData[[#This Row],[Attendance_Percentage]]*40%+StudentData[[#This Row],[Assignments_Completed]]*2+StudentData[[#This Row],[Class_Participation]]*2+StudentData[[#This Row],[Projects_Submitted]]*4</f>
        <v>39.124000000000002</v>
      </c>
      <c r="M680">
        <f>StudentData[[#This Row],[Academic_Score]]*60%+StudentData[[#This Row],[Engagement_Score]]*30%+MIN(StudentData[[#This Row],[Study_Hours_per_Week]],20)/20*100*10%</f>
        <v>65.369599999999991</v>
      </c>
      <c r="N680" s="3" t="str" cm="1">
        <f t="array" ref="N680">_xlfn.IFS(StudentData[[#This Row],[Success_Score]]&gt;=85,"Exceptional",StudentData[[#This Row],[Success_Score]]&gt;=70,"Strong",StudentData[[#This Row],[Success_Score]]&gt;=55,"Developing",TRUE,"Needs Improvement")</f>
        <v>Developing</v>
      </c>
      <c r="O680" s="3" t="str">
        <f t="shared" si="20"/>
        <v>Low Risk</v>
      </c>
      <c r="P680" s="3" t="str">
        <f t="shared" si="21"/>
        <v>18-20</v>
      </c>
    </row>
    <row r="681" spans="1:16">
      <c r="A681" t="s">
        <v>715</v>
      </c>
      <c r="B681">
        <v>19</v>
      </c>
      <c r="C681" t="s">
        <v>4</v>
      </c>
      <c r="D681">
        <v>75.63</v>
      </c>
      <c r="E681">
        <v>7</v>
      </c>
      <c r="F681">
        <v>3.13</v>
      </c>
      <c r="G681">
        <v>47.25</v>
      </c>
      <c r="H681">
        <v>70.209999999999994</v>
      </c>
      <c r="I681">
        <v>17</v>
      </c>
      <c r="J681">
        <v>2</v>
      </c>
      <c r="K681">
        <f>(StudentData[[#This Row],[Midterm_Grade]]*40%)+(StudentData[[#This Row],[Final_Grade]]*60%)</f>
        <v>61.025999999999996</v>
      </c>
      <c r="L681">
        <f>StudentData[[#This Row],[Attendance_Percentage]]*40%+StudentData[[#This Row],[Assignments_Completed]]*2+StudentData[[#This Row],[Class_Participation]]*2+StudentData[[#This Row],[Projects_Submitted]]*4</f>
        <v>58.511999999999993</v>
      </c>
      <c r="M681">
        <f>StudentData[[#This Row],[Academic_Score]]*60%+StudentData[[#This Row],[Engagement_Score]]*30%+MIN(StudentData[[#This Row],[Study_Hours_per_Week]],20)/20*100*10%</f>
        <v>62.669199999999989</v>
      </c>
      <c r="N681" s="3" t="str" cm="1">
        <f t="array" ref="N681">_xlfn.IFS(StudentData[[#This Row],[Success_Score]]&gt;=85,"Exceptional",StudentData[[#This Row],[Success_Score]]&gt;=70,"Strong",StudentData[[#This Row],[Success_Score]]&gt;=55,"Developing",TRUE,"Needs Improvement")</f>
        <v>Developing</v>
      </c>
      <c r="O681" s="3" t="str">
        <f t="shared" si="20"/>
        <v>Low Risk</v>
      </c>
      <c r="P681" s="3" t="str">
        <f t="shared" si="21"/>
        <v>18-20</v>
      </c>
    </row>
    <row r="682" spans="1:16">
      <c r="A682" t="s">
        <v>716</v>
      </c>
      <c r="B682">
        <v>25</v>
      </c>
      <c r="C682" t="s">
        <v>6</v>
      </c>
      <c r="D682">
        <v>65.27</v>
      </c>
      <c r="E682">
        <v>2</v>
      </c>
      <c r="F682">
        <v>8.36</v>
      </c>
      <c r="G682">
        <v>37.82</v>
      </c>
      <c r="H682">
        <v>50.74</v>
      </c>
      <c r="I682">
        <v>10</v>
      </c>
      <c r="J682">
        <v>4</v>
      </c>
      <c r="K682">
        <f>(StudentData[[#This Row],[Midterm_Grade]]*40%)+(StudentData[[#This Row],[Final_Grade]]*60%)</f>
        <v>45.572000000000003</v>
      </c>
      <c r="L682">
        <f>StudentData[[#This Row],[Attendance_Percentage]]*40%+StudentData[[#This Row],[Assignments_Completed]]*2+StudentData[[#This Row],[Class_Participation]]*2+StudentData[[#This Row],[Projects_Submitted]]*4</f>
        <v>62.828000000000003</v>
      </c>
      <c r="M682">
        <f>StudentData[[#This Row],[Academic_Score]]*60%+StudentData[[#This Row],[Engagement_Score]]*30%+MIN(StudentData[[#This Row],[Study_Hours_per_Week]],20)/20*100*10%</f>
        <v>51.191600000000001</v>
      </c>
      <c r="N682" s="3" t="str" cm="1">
        <f t="array" ref="N68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82" s="3" t="str">
        <f t="shared" si="20"/>
        <v>Medium Risk</v>
      </c>
      <c r="P682" s="3" t="str">
        <f t="shared" si="21"/>
        <v>24-25</v>
      </c>
    </row>
    <row r="683" spans="1:16">
      <c r="A683" t="s">
        <v>717</v>
      </c>
      <c r="B683">
        <v>22</v>
      </c>
      <c r="C683" t="s">
        <v>5</v>
      </c>
      <c r="D683">
        <v>60.63</v>
      </c>
      <c r="E683">
        <v>4</v>
      </c>
      <c r="F683">
        <v>0.5</v>
      </c>
      <c r="G683">
        <v>51.73</v>
      </c>
      <c r="H683">
        <v>44.15</v>
      </c>
      <c r="I683">
        <v>9</v>
      </c>
      <c r="J683">
        <v>1</v>
      </c>
      <c r="K683">
        <f>(StudentData[[#This Row],[Midterm_Grade]]*40%)+(StudentData[[#This Row],[Final_Grade]]*60%)</f>
        <v>47.182000000000002</v>
      </c>
      <c r="L683">
        <f>StudentData[[#This Row],[Attendance_Percentage]]*40%+StudentData[[#This Row],[Assignments_Completed]]*2+StudentData[[#This Row],[Class_Participation]]*2+StudentData[[#This Row],[Projects_Submitted]]*4</f>
        <v>37.252000000000002</v>
      </c>
      <c r="M683">
        <f>StudentData[[#This Row],[Academic_Score]]*60%+StudentData[[#This Row],[Engagement_Score]]*30%+MIN(StudentData[[#This Row],[Study_Hours_per_Week]],20)/20*100*10%</f>
        <v>43.9848</v>
      </c>
      <c r="N683" s="3" t="str" cm="1">
        <f t="array" ref="N68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83" s="3" t="str">
        <f t="shared" si="20"/>
        <v>Medium Risk</v>
      </c>
      <c r="P683" s="3" t="str">
        <f t="shared" si="21"/>
        <v>21-23</v>
      </c>
    </row>
    <row r="684" spans="1:16">
      <c r="A684" t="s">
        <v>718</v>
      </c>
      <c r="B684">
        <v>24</v>
      </c>
      <c r="C684" t="s">
        <v>4</v>
      </c>
      <c r="D684">
        <v>51.66</v>
      </c>
      <c r="E684">
        <v>0</v>
      </c>
      <c r="F684">
        <v>4.6500000000000004</v>
      </c>
      <c r="G684">
        <v>41.31</v>
      </c>
      <c r="H684">
        <v>13.07</v>
      </c>
      <c r="I684">
        <v>3</v>
      </c>
      <c r="J684">
        <v>2</v>
      </c>
      <c r="K684">
        <f>(StudentData[[#This Row],[Midterm_Grade]]*40%)+(StudentData[[#This Row],[Final_Grade]]*60%)</f>
        <v>24.366</v>
      </c>
      <c r="L684">
        <f>StudentData[[#This Row],[Attendance_Percentage]]*40%+StudentData[[#This Row],[Assignments_Completed]]*2+StudentData[[#This Row],[Class_Participation]]*2+StudentData[[#This Row],[Projects_Submitted]]*4</f>
        <v>37.963999999999999</v>
      </c>
      <c r="M684">
        <f>StudentData[[#This Row],[Academic_Score]]*60%+StudentData[[#This Row],[Engagement_Score]]*30%+MIN(StudentData[[#This Row],[Study_Hours_per_Week]],20)/20*100*10%</f>
        <v>27.508799999999997</v>
      </c>
      <c r="N684" s="3" t="str" cm="1">
        <f t="array" ref="N68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84" s="3" t="str">
        <f t="shared" si="20"/>
        <v>High Risk</v>
      </c>
      <c r="P684" s="3" t="str">
        <f t="shared" si="21"/>
        <v>24-25</v>
      </c>
    </row>
    <row r="685" spans="1:16">
      <c r="A685" t="s">
        <v>719</v>
      </c>
      <c r="B685">
        <v>21</v>
      </c>
      <c r="C685" t="s">
        <v>6</v>
      </c>
      <c r="D685">
        <v>65.2</v>
      </c>
      <c r="E685">
        <v>4</v>
      </c>
      <c r="F685">
        <v>3.8</v>
      </c>
      <c r="G685">
        <v>19.93</v>
      </c>
      <c r="H685">
        <v>29.1</v>
      </c>
      <c r="I685">
        <v>4</v>
      </c>
      <c r="J685">
        <v>3</v>
      </c>
      <c r="K685">
        <f>(StudentData[[#This Row],[Midterm_Grade]]*40%)+(StudentData[[#This Row],[Final_Grade]]*60%)</f>
        <v>25.432000000000002</v>
      </c>
      <c r="L685">
        <f>StudentData[[#This Row],[Attendance_Percentage]]*40%+StudentData[[#This Row],[Assignments_Completed]]*2+StudentData[[#This Row],[Class_Participation]]*2+StudentData[[#This Row],[Projects_Submitted]]*4</f>
        <v>53.68</v>
      </c>
      <c r="M685">
        <f>StudentData[[#This Row],[Academic_Score]]*60%+StudentData[[#This Row],[Engagement_Score]]*30%+MIN(StudentData[[#This Row],[Study_Hours_per_Week]],20)/20*100*10%</f>
        <v>33.363199999999999</v>
      </c>
      <c r="N685" s="3" t="str" cm="1">
        <f t="array" ref="N68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85" s="3" t="str">
        <f t="shared" si="20"/>
        <v>Medium Risk</v>
      </c>
      <c r="P685" s="3" t="str">
        <f t="shared" si="21"/>
        <v>21-23</v>
      </c>
    </row>
    <row r="686" spans="1:16">
      <c r="A686" t="s">
        <v>720</v>
      </c>
      <c r="B686">
        <v>18</v>
      </c>
      <c r="C686" t="s">
        <v>5</v>
      </c>
      <c r="D686">
        <v>82.66</v>
      </c>
      <c r="E686">
        <v>10</v>
      </c>
      <c r="F686">
        <v>3.17</v>
      </c>
      <c r="G686">
        <v>41.24</v>
      </c>
      <c r="H686">
        <v>86.9</v>
      </c>
      <c r="I686">
        <v>3</v>
      </c>
      <c r="J686">
        <v>0</v>
      </c>
      <c r="K686">
        <f>(StudentData[[#This Row],[Midterm_Grade]]*40%)+(StudentData[[#This Row],[Final_Grade]]*60%)</f>
        <v>68.635999999999996</v>
      </c>
      <c r="L686">
        <f>StudentData[[#This Row],[Attendance_Percentage]]*40%+StudentData[[#This Row],[Assignments_Completed]]*2+StudentData[[#This Row],[Class_Participation]]*2+StudentData[[#This Row],[Projects_Submitted]]*4</f>
        <v>59.403999999999996</v>
      </c>
      <c r="M686">
        <f>StudentData[[#This Row],[Academic_Score]]*60%+StudentData[[#This Row],[Engagement_Score]]*30%+MIN(StudentData[[#This Row],[Study_Hours_per_Week]],20)/20*100*10%</f>
        <v>60.502799999999993</v>
      </c>
      <c r="N686" s="3" t="str" cm="1">
        <f t="array" ref="N686">_xlfn.IFS(StudentData[[#This Row],[Success_Score]]&gt;=85,"Exceptional",StudentData[[#This Row],[Success_Score]]&gt;=70,"Strong",StudentData[[#This Row],[Success_Score]]&gt;=55,"Developing",TRUE,"Needs Improvement")</f>
        <v>Developing</v>
      </c>
      <c r="O686" s="3" t="str">
        <f t="shared" si="20"/>
        <v>Low Risk</v>
      </c>
      <c r="P686" s="3" t="str">
        <f t="shared" si="21"/>
        <v>18-20</v>
      </c>
    </row>
    <row r="687" spans="1:16">
      <c r="A687" t="s">
        <v>721</v>
      </c>
      <c r="B687">
        <v>23</v>
      </c>
      <c r="C687" t="s">
        <v>6</v>
      </c>
      <c r="D687">
        <v>96.92</v>
      </c>
      <c r="E687">
        <v>5</v>
      </c>
      <c r="F687">
        <v>2.86</v>
      </c>
      <c r="G687">
        <v>7.23</v>
      </c>
      <c r="H687">
        <v>90.45</v>
      </c>
      <c r="I687">
        <v>12</v>
      </c>
      <c r="J687">
        <v>2</v>
      </c>
      <c r="K687">
        <f>(StudentData[[#This Row],[Midterm_Grade]]*40%)+(StudentData[[#This Row],[Final_Grade]]*60%)</f>
        <v>57.162000000000006</v>
      </c>
      <c r="L687">
        <f>StudentData[[#This Row],[Attendance_Percentage]]*40%+StudentData[[#This Row],[Assignments_Completed]]*2+StudentData[[#This Row],[Class_Participation]]*2+StudentData[[#This Row],[Projects_Submitted]]*4</f>
        <v>62.488</v>
      </c>
      <c r="M687">
        <f>StudentData[[#This Row],[Academic_Score]]*60%+StudentData[[#This Row],[Engagement_Score]]*30%+MIN(StudentData[[#This Row],[Study_Hours_per_Week]],20)/20*100*10%</f>
        <v>59.043599999999998</v>
      </c>
      <c r="N687" s="3" t="str" cm="1">
        <f t="array" ref="N687">_xlfn.IFS(StudentData[[#This Row],[Success_Score]]&gt;=85,"Exceptional",StudentData[[#This Row],[Success_Score]]&gt;=70,"Strong",StudentData[[#This Row],[Success_Score]]&gt;=55,"Developing",TRUE,"Needs Improvement")</f>
        <v>Developing</v>
      </c>
      <c r="O687" s="3" t="str">
        <f t="shared" si="20"/>
        <v>Medium Risk</v>
      </c>
      <c r="P687" s="3" t="str">
        <f t="shared" si="21"/>
        <v>21-23</v>
      </c>
    </row>
    <row r="688" spans="1:16">
      <c r="A688" t="s">
        <v>722</v>
      </c>
      <c r="B688">
        <v>23</v>
      </c>
      <c r="C688" t="s">
        <v>4</v>
      </c>
      <c r="D688">
        <v>93.56</v>
      </c>
      <c r="E688">
        <v>7</v>
      </c>
      <c r="F688">
        <v>0.91</v>
      </c>
      <c r="G688">
        <v>57.58</v>
      </c>
      <c r="H688">
        <v>7.0000000000000007E-2</v>
      </c>
      <c r="I688">
        <v>12</v>
      </c>
      <c r="J688">
        <v>2</v>
      </c>
      <c r="K688">
        <f>(StudentData[[#This Row],[Midterm_Grade]]*40%)+(StudentData[[#This Row],[Final_Grade]]*60%)</f>
        <v>23.074000000000002</v>
      </c>
      <c r="L688">
        <f>StudentData[[#This Row],[Attendance_Percentage]]*40%+StudentData[[#This Row],[Assignments_Completed]]*2+StudentData[[#This Row],[Class_Participation]]*2+StudentData[[#This Row],[Projects_Submitted]]*4</f>
        <v>61.244</v>
      </c>
      <c r="M688">
        <f>StudentData[[#This Row],[Academic_Score]]*60%+StudentData[[#This Row],[Engagement_Score]]*30%+MIN(StudentData[[#This Row],[Study_Hours_per_Week]],20)/20*100*10%</f>
        <v>38.217600000000004</v>
      </c>
      <c r="N688" s="3" t="str" cm="1">
        <f t="array" ref="N68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88" s="3" t="str">
        <f t="shared" si="20"/>
        <v>Medium Risk</v>
      </c>
      <c r="P688" s="3" t="str">
        <f t="shared" si="21"/>
        <v>21-23</v>
      </c>
    </row>
    <row r="689" spans="1:16">
      <c r="A689" t="s">
        <v>723</v>
      </c>
      <c r="B689">
        <v>22</v>
      </c>
      <c r="C689" t="s">
        <v>5</v>
      </c>
      <c r="D689">
        <v>88.3</v>
      </c>
      <c r="E689">
        <v>2</v>
      </c>
      <c r="F689">
        <v>3.15</v>
      </c>
      <c r="G689">
        <v>85.37</v>
      </c>
      <c r="H689">
        <v>59.41</v>
      </c>
      <c r="I689">
        <v>17</v>
      </c>
      <c r="J689">
        <v>4</v>
      </c>
      <c r="K689">
        <f>(StudentData[[#This Row],[Midterm_Grade]]*40%)+(StudentData[[#This Row],[Final_Grade]]*60%)</f>
        <v>69.793999999999997</v>
      </c>
      <c r="L689">
        <f>StudentData[[#This Row],[Attendance_Percentage]]*40%+StudentData[[#This Row],[Assignments_Completed]]*2+StudentData[[#This Row],[Class_Participation]]*2+StudentData[[#This Row],[Projects_Submitted]]*4</f>
        <v>61.62</v>
      </c>
      <c r="M689">
        <f>StudentData[[#This Row],[Academic_Score]]*60%+StudentData[[#This Row],[Engagement_Score]]*30%+MIN(StudentData[[#This Row],[Study_Hours_per_Week]],20)/20*100*10%</f>
        <v>68.862399999999994</v>
      </c>
      <c r="N689" s="3" t="str" cm="1">
        <f t="array" ref="N689">_xlfn.IFS(StudentData[[#This Row],[Success_Score]]&gt;=85,"Exceptional",StudentData[[#This Row],[Success_Score]]&gt;=70,"Strong",StudentData[[#This Row],[Success_Score]]&gt;=55,"Developing",TRUE,"Needs Improvement")</f>
        <v>Developing</v>
      </c>
      <c r="O689" s="3" t="str">
        <f t="shared" si="20"/>
        <v>Low Risk</v>
      </c>
      <c r="P689" s="3" t="str">
        <f t="shared" si="21"/>
        <v>21-23</v>
      </c>
    </row>
    <row r="690" spans="1:16">
      <c r="A690" t="s">
        <v>724</v>
      </c>
      <c r="B690">
        <v>24</v>
      </c>
      <c r="C690" t="s">
        <v>5</v>
      </c>
      <c r="D690">
        <v>89.42</v>
      </c>
      <c r="E690">
        <v>2</v>
      </c>
      <c r="F690">
        <v>0.43</v>
      </c>
      <c r="G690">
        <v>72.53</v>
      </c>
      <c r="H690">
        <v>71.930000000000007</v>
      </c>
      <c r="I690">
        <v>1</v>
      </c>
      <c r="J690">
        <v>2</v>
      </c>
      <c r="K690">
        <f>(StudentData[[#This Row],[Midterm_Grade]]*40%)+(StudentData[[#This Row],[Final_Grade]]*60%)</f>
        <v>72.17</v>
      </c>
      <c r="L690">
        <f>StudentData[[#This Row],[Attendance_Percentage]]*40%+StudentData[[#This Row],[Assignments_Completed]]*2+StudentData[[#This Row],[Class_Participation]]*2+StudentData[[#This Row],[Projects_Submitted]]*4</f>
        <v>48.628</v>
      </c>
      <c r="M690">
        <f>StudentData[[#This Row],[Academic_Score]]*60%+StudentData[[#This Row],[Engagement_Score]]*30%+MIN(StudentData[[#This Row],[Study_Hours_per_Week]],20)/20*100*10%</f>
        <v>58.3904</v>
      </c>
      <c r="N690" s="3" t="str" cm="1">
        <f t="array" ref="N690">_xlfn.IFS(StudentData[[#This Row],[Success_Score]]&gt;=85,"Exceptional",StudentData[[#This Row],[Success_Score]]&gt;=70,"Strong",StudentData[[#This Row],[Success_Score]]&gt;=55,"Developing",TRUE,"Needs Improvement")</f>
        <v>Developing</v>
      </c>
      <c r="O690" s="3" t="str">
        <f t="shared" si="20"/>
        <v>Low Risk</v>
      </c>
      <c r="P690" s="3" t="str">
        <f t="shared" si="21"/>
        <v>24-25</v>
      </c>
    </row>
    <row r="691" spans="1:16">
      <c r="A691" t="s">
        <v>725</v>
      </c>
      <c r="B691">
        <v>19</v>
      </c>
      <c r="C691" t="s">
        <v>4</v>
      </c>
      <c r="D691">
        <v>83.25</v>
      </c>
      <c r="E691">
        <v>10</v>
      </c>
      <c r="F691">
        <v>7.81</v>
      </c>
      <c r="G691">
        <v>36.04</v>
      </c>
      <c r="H691">
        <v>61.87</v>
      </c>
      <c r="I691">
        <v>15</v>
      </c>
      <c r="J691">
        <v>4</v>
      </c>
      <c r="K691">
        <f>(StudentData[[#This Row],[Midterm_Grade]]*40%)+(StudentData[[#This Row],[Final_Grade]]*60%)</f>
        <v>51.537999999999997</v>
      </c>
      <c r="L691">
        <f>StudentData[[#This Row],[Attendance_Percentage]]*40%+StudentData[[#This Row],[Assignments_Completed]]*2+StudentData[[#This Row],[Class_Participation]]*2+StudentData[[#This Row],[Projects_Submitted]]*4</f>
        <v>84.92</v>
      </c>
      <c r="M691">
        <f>StudentData[[#This Row],[Academic_Score]]*60%+StudentData[[#This Row],[Engagement_Score]]*30%+MIN(StudentData[[#This Row],[Study_Hours_per_Week]],20)/20*100*10%</f>
        <v>63.898799999999994</v>
      </c>
      <c r="N691" s="3" t="str" cm="1">
        <f t="array" ref="N691">_xlfn.IFS(StudentData[[#This Row],[Success_Score]]&gt;=85,"Exceptional",StudentData[[#This Row],[Success_Score]]&gt;=70,"Strong",StudentData[[#This Row],[Success_Score]]&gt;=55,"Developing",TRUE,"Needs Improvement")</f>
        <v>Developing</v>
      </c>
      <c r="O691" s="3" t="str">
        <f t="shared" si="20"/>
        <v>Medium Risk</v>
      </c>
      <c r="P691" s="3" t="str">
        <f t="shared" si="21"/>
        <v>18-20</v>
      </c>
    </row>
    <row r="692" spans="1:16">
      <c r="A692" t="s">
        <v>726</v>
      </c>
      <c r="B692">
        <v>19</v>
      </c>
      <c r="C692" t="s">
        <v>5</v>
      </c>
      <c r="D692">
        <v>63.01</v>
      </c>
      <c r="E692">
        <v>10</v>
      </c>
      <c r="F692">
        <v>3.98</v>
      </c>
      <c r="G692">
        <v>8.7100000000000009</v>
      </c>
      <c r="H692">
        <v>8.17</v>
      </c>
      <c r="I692">
        <v>0</v>
      </c>
      <c r="J692">
        <v>0</v>
      </c>
      <c r="K692">
        <f>(StudentData[[#This Row],[Midterm_Grade]]*40%)+(StudentData[[#This Row],[Final_Grade]]*60%)</f>
        <v>8.386000000000001</v>
      </c>
      <c r="L692">
        <f>StudentData[[#This Row],[Attendance_Percentage]]*40%+StudentData[[#This Row],[Assignments_Completed]]*2+StudentData[[#This Row],[Class_Participation]]*2+StudentData[[#This Row],[Projects_Submitted]]*4</f>
        <v>53.164000000000001</v>
      </c>
      <c r="M692">
        <f>StudentData[[#This Row],[Academic_Score]]*60%+StudentData[[#This Row],[Engagement_Score]]*30%+MIN(StudentData[[#This Row],[Study_Hours_per_Week]],20)/20*100*10%</f>
        <v>20.980799999999999</v>
      </c>
      <c r="N692" s="3" t="str" cm="1">
        <f t="array" ref="N69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92" s="3" t="str">
        <f t="shared" si="20"/>
        <v>Medium Risk</v>
      </c>
      <c r="P692" s="3" t="str">
        <f t="shared" si="21"/>
        <v>18-20</v>
      </c>
    </row>
    <row r="693" spans="1:16">
      <c r="A693" t="s">
        <v>727</v>
      </c>
      <c r="B693">
        <v>23</v>
      </c>
      <c r="C693" t="s">
        <v>4</v>
      </c>
      <c r="D693">
        <v>95.36</v>
      </c>
      <c r="E693">
        <v>9</v>
      </c>
      <c r="F693">
        <v>4.4400000000000004</v>
      </c>
      <c r="G693">
        <v>20.21</v>
      </c>
      <c r="H693">
        <v>21.77</v>
      </c>
      <c r="I693">
        <v>18</v>
      </c>
      <c r="J693">
        <v>0</v>
      </c>
      <c r="K693">
        <f>(StudentData[[#This Row],[Midterm_Grade]]*40%)+(StudentData[[#This Row],[Final_Grade]]*60%)</f>
        <v>21.146000000000001</v>
      </c>
      <c r="L693">
        <f>StudentData[[#This Row],[Attendance_Percentage]]*40%+StudentData[[#This Row],[Assignments_Completed]]*2+StudentData[[#This Row],[Class_Participation]]*2+StudentData[[#This Row],[Projects_Submitted]]*4</f>
        <v>65.024000000000001</v>
      </c>
      <c r="M693">
        <f>StudentData[[#This Row],[Academic_Score]]*60%+StudentData[[#This Row],[Engagement_Score]]*30%+MIN(StudentData[[#This Row],[Study_Hours_per_Week]],20)/20*100*10%</f>
        <v>41.194800000000001</v>
      </c>
      <c r="N693" s="3" t="str" cm="1">
        <f t="array" ref="N69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93" s="3" t="str">
        <f t="shared" si="20"/>
        <v>Medium Risk</v>
      </c>
      <c r="P693" s="3" t="str">
        <f t="shared" si="21"/>
        <v>21-23</v>
      </c>
    </row>
    <row r="694" spans="1:16">
      <c r="A694" t="s">
        <v>728</v>
      </c>
      <c r="B694">
        <v>22</v>
      </c>
      <c r="C694" t="s">
        <v>5</v>
      </c>
      <c r="D694">
        <v>83.54</v>
      </c>
      <c r="E694">
        <v>8</v>
      </c>
      <c r="F694">
        <v>8.94</v>
      </c>
      <c r="G694">
        <v>54.55</v>
      </c>
      <c r="H694">
        <v>25.03</v>
      </c>
      <c r="I694">
        <v>8</v>
      </c>
      <c r="J694">
        <v>3</v>
      </c>
      <c r="K694">
        <f>(StudentData[[#This Row],[Midterm_Grade]]*40%)+(StudentData[[#This Row],[Final_Grade]]*60%)</f>
        <v>36.838000000000001</v>
      </c>
      <c r="L694">
        <f>StudentData[[#This Row],[Attendance_Percentage]]*40%+StudentData[[#This Row],[Assignments_Completed]]*2+StudentData[[#This Row],[Class_Participation]]*2+StudentData[[#This Row],[Projects_Submitted]]*4</f>
        <v>79.296000000000006</v>
      </c>
      <c r="M694">
        <f>StudentData[[#This Row],[Academic_Score]]*60%+StudentData[[#This Row],[Engagement_Score]]*30%+MIN(StudentData[[#This Row],[Study_Hours_per_Week]],20)/20*100*10%</f>
        <v>49.891599999999997</v>
      </c>
      <c r="N694" s="3" t="str" cm="1">
        <f t="array" ref="N69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94" s="3" t="str">
        <f t="shared" si="20"/>
        <v>Medium Risk</v>
      </c>
      <c r="P694" s="3" t="str">
        <f t="shared" si="21"/>
        <v>21-23</v>
      </c>
    </row>
    <row r="695" spans="1:16">
      <c r="A695" t="s">
        <v>729</v>
      </c>
      <c r="B695">
        <v>21</v>
      </c>
      <c r="C695" t="s">
        <v>4</v>
      </c>
      <c r="D695">
        <v>78.02</v>
      </c>
      <c r="E695">
        <v>3</v>
      </c>
      <c r="F695">
        <v>6.58</v>
      </c>
      <c r="G695">
        <v>20.71</v>
      </c>
      <c r="H695">
        <v>83.17</v>
      </c>
      <c r="I695">
        <v>2</v>
      </c>
      <c r="J695">
        <v>4</v>
      </c>
      <c r="K695">
        <f>(StudentData[[#This Row],[Midterm_Grade]]*40%)+(StudentData[[#This Row],[Final_Grade]]*60%)</f>
        <v>58.186</v>
      </c>
      <c r="L695">
        <f>StudentData[[#This Row],[Attendance_Percentage]]*40%+StudentData[[#This Row],[Assignments_Completed]]*2+StudentData[[#This Row],[Class_Participation]]*2+StudentData[[#This Row],[Projects_Submitted]]*4</f>
        <v>66.367999999999995</v>
      </c>
      <c r="M695">
        <f>StudentData[[#This Row],[Academic_Score]]*60%+StudentData[[#This Row],[Engagement_Score]]*30%+MIN(StudentData[[#This Row],[Study_Hours_per_Week]],20)/20*100*10%</f>
        <v>55.822000000000003</v>
      </c>
      <c r="N695" s="3" t="str" cm="1">
        <f t="array" ref="N695">_xlfn.IFS(StudentData[[#This Row],[Success_Score]]&gt;=85,"Exceptional",StudentData[[#This Row],[Success_Score]]&gt;=70,"Strong",StudentData[[#This Row],[Success_Score]]&gt;=55,"Developing",TRUE,"Needs Improvement")</f>
        <v>Developing</v>
      </c>
      <c r="O695" s="3" t="str">
        <f t="shared" si="20"/>
        <v>Medium Risk</v>
      </c>
      <c r="P695" s="3" t="str">
        <f t="shared" si="21"/>
        <v>21-23</v>
      </c>
    </row>
    <row r="696" spans="1:16">
      <c r="A696" t="s">
        <v>730</v>
      </c>
      <c r="B696">
        <v>19</v>
      </c>
      <c r="C696" t="s">
        <v>5</v>
      </c>
      <c r="D696">
        <v>55.55</v>
      </c>
      <c r="E696">
        <v>3</v>
      </c>
      <c r="F696">
        <v>0.08</v>
      </c>
      <c r="G696">
        <v>54.4</v>
      </c>
      <c r="H696">
        <v>46.32</v>
      </c>
      <c r="I696">
        <v>6</v>
      </c>
      <c r="J696">
        <v>4</v>
      </c>
      <c r="K696">
        <f>(StudentData[[#This Row],[Midterm_Grade]]*40%)+(StudentData[[#This Row],[Final_Grade]]*60%)</f>
        <v>49.552</v>
      </c>
      <c r="L696">
        <f>StudentData[[#This Row],[Attendance_Percentage]]*40%+StudentData[[#This Row],[Assignments_Completed]]*2+StudentData[[#This Row],[Class_Participation]]*2+StudentData[[#This Row],[Projects_Submitted]]*4</f>
        <v>44.379999999999995</v>
      </c>
      <c r="M696">
        <f>StudentData[[#This Row],[Academic_Score]]*60%+StudentData[[#This Row],[Engagement_Score]]*30%+MIN(StudentData[[#This Row],[Study_Hours_per_Week]],20)/20*100*10%</f>
        <v>46.045199999999994</v>
      </c>
      <c r="N696" s="3" t="str" cm="1">
        <f t="array" ref="N69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96" s="3" t="str">
        <f t="shared" si="20"/>
        <v>High Risk</v>
      </c>
      <c r="P696" s="3" t="str">
        <f t="shared" si="21"/>
        <v>18-20</v>
      </c>
    </row>
    <row r="697" spans="1:16">
      <c r="A697" t="s">
        <v>731</v>
      </c>
      <c r="B697">
        <v>21</v>
      </c>
      <c r="C697" t="s">
        <v>4</v>
      </c>
      <c r="D697">
        <v>72.349999999999994</v>
      </c>
      <c r="E697">
        <v>6</v>
      </c>
      <c r="F697">
        <v>9.43</v>
      </c>
      <c r="G697">
        <v>23.16</v>
      </c>
      <c r="H697">
        <v>48.68</v>
      </c>
      <c r="I697">
        <v>9</v>
      </c>
      <c r="J697">
        <v>1</v>
      </c>
      <c r="K697">
        <f>(StudentData[[#This Row],[Midterm_Grade]]*40%)+(StudentData[[#This Row],[Final_Grade]]*60%)</f>
        <v>38.472000000000001</v>
      </c>
      <c r="L697">
        <f>StudentData[[#This Row],[Attendance_Percentage]]*40%+StudentData[[#This Row],[Assignments_Completed]]*2+StudentData[[#This Row],[Class_Participation]]*2+StudentData[[#This Row],[Projects_Submitted]]*4</f>
        <v>63.8</v>
      </c>
      <c r="M697">
        <f>StudentData[[#This Row],[Academic_Score]]*60%+StudentData[[#This Row],[Engagement_Score]]*30%+MIN(StudentData[[#This Row],[Study_Hours_per_Week]],20)/20*100*10%</f>
        <v>46.723199999999999</v>
      </c>
      <c r="N697" s="3" t="str" cm="1">
        <f t="array" ref="N69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697" s="3" t="str">
        <f t="shared" si="20"/>
        <v>Medium Risk</v>
      </c>
      <c r="P697" s="3" t="str">
        <f t="shared" si="21"/>
        <v>21-23</v>
      </c>
    </row>
    <row r="698" spans="1:16">
      <c r="A698" t="s">
        <v>732</v>
      </c>
      <c r="B698">
        <v>24</v>
      </c>
      <c r="C698" t="s">
        <v>6</v>
      </c>
      <c r="D698">
        <v>73.02</v>
      </c>
      <c r="E698">
        <v>1</v>
      </c>
      <c r="F698">
        <v>2.37</v>
      </c>
      <c r="G698">
        <v>84.89</v>
      </c>
      <c r="H698">
        <v>93.49</v>
      </c>
      <c r="I698">
        <v>0</v>
      </c>
      <c r="J698">
        <v>1</v>
      </c>
      <c r="K698">
        <f>(StudentData[[#This Row],[Midterm_Grade]]*40%)+(StudentData[[#This Row],[Final_Grade]]*60%)</f>
        <v>90.05</v>
      </c>
      <c r="L698">
        <f>StudentData[[#This Row],[Attendance_Percentage]]*40%+StudentData[[#This Row],[Assignments_Completed]]*2+StudentData[[#This Row],[Class_Participation]]*2+StudentData[[#This Row],[Projects_Submitted]]*4</f>
        <v>39.948</v>
      </c>
      <c r="M698">
        <f>StudentData[[#This Row],[Academic_Score]]*60%+StudentData[[#This Row],[Engagement_Score]]*30%+MIN(StudentData[[#This Row],[Study_Hours_per_Week]],20)/20*100*10%</f>
        <v>66.014399999999995</v>
      </c>
      <c r="N698" s="3" t="str" cm="1">
        <f t="array" ref="N698">_xlfn.IFS(StudentData[[#This Row],[Success_Score]]&gt;=85,"Exceptional",StudentData[[#This Row],[Success_Score]]&gt;=70,"Strong",StudentData[[#This Row],[Success_Score]]&gt;=55,"Developing",TRUE,"Needs Improvement")</f>
        <v>Developing</v>
      </c>
      <c r="O698" s="3" t="str">
        <f t="shared" si="20"/>
        <v>Low Risk</v>
      </c>
      <c r="P698" s="3" t="str">
        <f t="shared" si="21"/>
        <v>24-25</v>
      </c>
    </row>
    <row r="699" spans="1:16">
      <c r="A699" t="s">
        <v>733</v>
      </c>
      <c r="B699">
        <v>19</v>
      </c>
      <c r="C699" t="s">
        <v>6</v>
      </c>
      <c r="D699">
        <v>93.23</v>
      </c>
      <c r="E699">
        <v>7</v>
      </c>
      <c r="F699">
        <v>1.08</v>
      </c>
      <c r="G699">
        <v>39.729999999999997</v>
      </c>
      <c r="H699">
        <v>63.71</v>
      </c>
      <c r="I699">
        <v>9</v>
      </c>
      <c r="J699">
        <v>3</v>
      </c>
      <c r="K699">
        <f>(StudentData[[#This Row],[Midterm_Grade]]*40%)+(StudentData[[#This Row],[Final_Grade]]*60%)</f>
        <v>54.117999999999995</v>
      </c>
      <c r="L699">
        <f>StudentData[[#This Row],[Attendance_Percentage]]*40%+StudentData[[#This Row],[Assignments_Completed]]*2+StudentData[[#This Row],[Class_Participation]]*2+StudentData[[#This Row],[Projects_Submitted]]*4</f>
        <v>65.451999999999998</v>
      </c>
      <c r="M699">
        <f>StudentData[[#This Row],[Academic_Score]]*60%+StudentData[[#This Row],[Engagement_Score]]*30%+MIN(StudentData[[#This Row],[Study_Hours_per_Week]],20)/20*100*10%</f>
        <v>56.606399999999994</v>
      </c>
      <c r="N699" s="3" t="str" cm="1">
        <f t="array" ref="N699">_xlfn.IFS(StudentData[[#This Row],[Success_Score]]&gt;=85,"Exceptional",StudentData[[#This Row],[Success_Score]]&gt;=70,"Strong",StudentData[[#This Row],[Success_Score]]&gt;=55,"Developing",TRUE,"Needs Improvement")</f>
        <v>Developing</v>
      </c>
      <c r="O699" s="3" t="str">
        <f t="shared" si="20"/>
        <v>Medium Risk</v>
      </c>
      <c r="P699" s="3" t="str">
        <f t="shared" si="21"/>
        <v>18-20</v>
      </c>
    </row>
    <row r="700" spans="1:16">
      <c r="A700" t="s">
        <v>734</v>
      </c>
      <c r="B700">
        <v>19</v>
      </c>
      <c r="C700" t="s">
        <v>4</v>
      </c>
      <c r="D700">
        <v>77.33</v>
      </c>
      <c r="E700">
        <v>5</v>
      </c>
      <c r="F700">
        <v>7.68</v>
      </c>
      <c r="G700">
        <v>24.56</v>
      </c>
      <c r="H700">
        <v>89.87</v>
      </c>
      <c r="I700">
        <v>8</v>
      </c>
      <c r="J700">
        <v>0</v>
      </c>
      <c r="K700">
        <f>(StudentData[[#This Row],[Midterm_Grade]]*40%)+(StudentData[[#This Row],[Final_Grade]]*60%)</f>
        <v>63.746000000000002</v>
      </c>
      <c r="L700">
        <f>StudentData[[#This Row],[Attendance_Percentage]]*40%+StudentData[[#This Row],[Assignments_Completed]]*2+StudentData[[#This Row],[Class_Participation]]*2+StudentData[[#This Row],[Projects_Submitted]]*4</f>
        <v>56.292000000000002</v>
      </c>
      <c r="M700">
        <f>StudentData[[#This Row],[Academic_Score]]*60%+StudentData[[#This Row],[Engagement_Score]]*30%+MIN(StudentData[[#This Row],[Study_Hours_per_Week]],20)/20*100*10%</f>
        <v>59.135199999999998</v>
      </c>
      <c r="N700" s="3" t="str" cm="1">
        <f t="array" ref="N700">_xlfn.IFS(StudentData[[#This Row],[Success_Score]]&gt;=85,"Exceptional",StudentData[[#This Row],[Success_Score]]&gt;=70,"Strong",StudentData[[#This Row],[Success_Score]]&gt;=55,"Developing",TRUE,"Needs Improvement")</f>
        <v>Developing</v>
      </c>
      <c r="O700" s="3" t="str">
        <f t="shared" si="20"/>
        <v>Low Risk</v>
      </c>
      <c r="P700" s="3" t="str">
        <f t="shared" si="21"/>
        <v>18-20</v>
      </c>
    </row>
    <row r="701" spans="1:16">
      <c r="A701" t="s">
        <v>735</v>
      </c>
      <c r="B701">
        <v>20</v>
      </c>
      <c r="C701" t="s">
        <v>5</v>
      </c>
      <c r="D701">
        <v>69.02</v>
      </c>
      <c r="E701">
        <v>2</v>
      </c>
      <c r="F701">
        <v>5</v>
      </c>
      <c r="G701">
        <v>81.23</v>
      </c>
      <c r="H701">
        <v>45.65</v>
      </c>
      <c r="I701">
        <v>14</v>
      </c>
      <c r="J701">
        <v>5</v>
      </c>
      <c r="K701">
        <f>(StudentData[[#This Row],[Midterm_Grade]]*40%)+(StudentData[[#This Row],[Final_Grade]]*60%)</f>
        <v>59.882000000000005</v>
      </c>
      <c r="L701">
        <f>StudentData[[#This Row],[Attendance_Percentage]]*40%+StudentData[[#This Row],[Assignments_Completed]]*2+StudentData[[#This Row],[Class_Participation]]*2+StudentData[[#This Row],[Projects_Submitted]]*4</f>
        <v>61.608000000000004</v>
      </c>
      <c r="M701">
        <f>StudentData[[#This Row],[Academic_Score]]*60%+StudentData[[#This Row],[Engagement_Score]]*30%+MIN(StudentData[[#This Row],[Study_Hours_per_Week]],20)/20*100*10%</f>
        <v>61.411600000000007</v>
      </c>
      <c r="N701" s="3" t="str" cm="1">
        <f t="array" ref="N701">_xlfn.IFS(StudentData[[#This Row],[Success_Score]]&gt;=85,"Exceptional",StudentData[[#This Row],[Success_Score]]&gt;=70,"Strong",StudentData[[#This Row],[Success_Score]]&gt;=55,"Developing",TRUE,"Needs Improvement")</f>
        <v>Developing</v>
      </c>
      <c r="O701" s="3" t="str">
        <f t="shared" si="20"/>
        <v>Medium Risk</v>
      </c>
      <c r="P701" s="3" t="str">
        <f t="shared" si="21"/>
        <v>18-20</v>
      </c>
    </row>
    <row r="702" spans="1:16">
      <c r="A702" t="s">
        <v>736</v>
      </c>
      <c r="B702">
        <v>19</v>
      </c>
      <c r="C702" t="s">
        <v>4</v>
      </c>
      <c r="D702">
        <v>98.84</v>
      </c>
      <c r="E702">
        <v>8</v>
      </c>
      <c r="F702">
        <v>4.34</v>
      </c>
      <c r="G702">
        <v>34.28</v>
      </c>
      <c r="H702">
        <v>14.94</v>
      </c>
      <c r="I702">
        <v>14</v>
      </c>
      <c r="J702">
        <v>1</v>
      </c>
      <c r="K702">
        <f>(StudentData[[#This Row],[Midterm_Grade]]*40%)+(StudentData[[#This Row],[Final_Grade]]*60%)</f>
        <v>22.676000000000002</v>
      </c>
      <c r="L702">
        <f>StudentData[[#This Row],[Attendance_Percentage]]*40%+StudentData[[#This Row],[Assignments_Completed]]*2+StudentData[[#This Row],[Class_Participation]]*2+StudentData[[#This Row],[Projects_Submitted]]*4</f>
        <v>68.216000000000008</v>
      </c>
      <c r="M702">
        <f>StudentData[[#This Row],[Academic_Score]]*60%+StudentData[[#This Row],[Engagement_Score]]*30%+MIN(StudentData[[#This Row],[Study_Hours_per_Week]],20)/20*100*10%</f>
        <v>41.070399999999999</v>
      </c>
      <c r="N702" s="3" t="str" cm="1">
        <f t="array" ref="N70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02" s="3" t="str">
        <f t="shared" si="20"/>
        <v>Medium Risk</v>
      </c>
      <c r="P702" s="3" t="str">
        <f t="shared" si="21"/>
        <v>18-20</v>
      </c>
    </row>
    <row r="703" spans="1:16">
      <c r="A703" t="s">
        <v>737</v>
      </c>
      <c r="B703">
        <v>25</v>
      </c>
      <c r="C703" t="s">
        <v>5</v>
      </c>
      <c r="D703">
        <v>55.54</v>
      </c>
      <c r="E703">
        <v>4</v>
      </c>
      <c r="F703">
        <v>2.5</v>
      </c>
      <c r="G703">
        <v>11.15</v>
      </c>
      <c r="H703">
        <v>92.99</v>
      </c>
      <c r="I703">
        <v>2</v>
      </c>
      <c r="J703">
        <v>2</v>
      </c>
      <c r="K703">
        <f>(StudentData[[#This Row],[Midterm_Grade]]*40%)+(StudentData[[#This Row],[Final_Grade]]*60%)</f>
        <v>60.253999999999998</v>
      </c>
      <c r="L703">
        <f>StudentData[[#This Row],[Attendance_Percentage]]*40%+StudentData[[#This Row],[Assignments_Completed]]*2+StudentData[[#This Row],[Class_Participation]]*2+StudentData[[#This Row],[Projects_Submitted]]*4</f>
        <v>43.216000000000001</v>
      </c>
      <c r="M703">
        <f>StudentData[[#This Row],[Academic_Score]]*60%+StudentData[[#This Row],[Engagement_Score]]*30%+MIN(StudentData[[#This Row],[Study_Hours_per_Week]],20)/20*100*10%</f>
        <v>50.117199999999997</v>
      </c>
      <c r="N703" s="3" t="str" cm="1">
        <f t="array" ref="N70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03" s="3" t="str">
        <f t="shared" si="20"/>
        <v>Medium Risk</v>
      </c>
      <c r="P703" s="3" t="str">
        <f t="shared" si="21"/>
        <v>24-25</v>
      </c>
    </row>
    <row r="704" spans="1:16">
      <c r="A704" t="s">
        <v>738</v>
      </c>
      <c r="B704">
        <v>18</v>
      </c>
      <c r="C704" t="s">
        <v>5</v>
      </c>
      <c r="D704">
        <v>71.13</v>
      </c>
      <c r="E704">
        <v>7</v>
      </c>
      <c r="F704">
        <v>5.47</v>
      </c>
      <c r="G704">
        <v>57.04</v>
      </c>
      <c r="H704">
        <v>45.87</v>
      </c>
      <c r="I704">
        <v>4</v>
      </c>
      <c r="J704">
        <v>0</v>
      </c>
      <c r="K704">
        <f>(StudentData[[#This Row],[Midterm_Grade]]*40%)+(StudentData[[#This Row],[Final_Grade]]*60%)</f>
        <v>50.338000000000001</v>
      </c>
      <c r="L704">
        <f>StudentData[[#This Row],[Attendance_Percentage]]*40%+StudentData[[#This Row],[Assignments_Completed]]*2+StudentData[[#This Row],[Class_Participation]]*2+StudentData[[#This Row],[Projects_Submitted]]*4</f>
        <v>53.391999999999996</v>
      </c>
      <c r="M704">
        <f>StudentData[[#This Row],[Academic_Score]]*60%+StudentData[[#This Row],[Engagement_Score]]*30%+MIN(StudentData[[#This Row],[Study_Hours_per_Week]],20)/20*100*10%</f>
        <v>48.220399999999998</v>
      </c>
      <c r="N704" s="3" t="str" cm="1">
        <f t="array" ref="N70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04" s="3" t="str">
        <f t="shared" si="20"/>
        <v>Medium Risk</v>
      </c>
      <c r="P704" s="3" t="str">
        <f t="shared" si="21"/>
        <v>18-20</v>
      </c>
    </row>
    <row r="705" spans="1:16">
      <c r="A705" t="s">
        <v>739</v>
      </c>
      <c r="B705">
        <v>25</v>
      </c>
      <c r="C705" t="s">
        <v>5</v>
      </c>
      <c r="D705">
        <v>52.1</v>
      </c>
      <c r="E705">
        <v>6</v>
      </c>
      <c r="F705">
        <v>2.74</v>
      </c>
      <c r="G705">
        <v>58.16</v>
      </c>
      <c r="H705">
        <v>18.16</v>
      </c>
      <c r="I705">
        <v>8</v>
      </c>
      <c r="J705">
        <v>5</v>
      </c>
      <c r="K705">
        <f>(StudentData[[#This Row],[Midterm_Grade]]*40%)+(StudentData[[#This Row],[Final_Grade]]*60%)</f>
        <v>34.159999999999997</v>
      </c>
      <c r="L705">
        <f>StudentData[[#This Row],[Attendance_Percentage]]*40%+StudentData[[#This Row],[Assignments_Completed]]*2+StudentData[[#This Row],[Class_Participation]]*2+StudentData[[#This Row],[Projects_Submitted]]*4</f>
        <v>58.320000000000007</v>
      </c>
      <c r="M705">
        <f>StudentData[[#This Row],[Academic_Score]]*60%+StudentData[[#This Row],[Engagement_Score]]*30%+MIN(StudentData[[#This Row],[Study_Hours_per_Week]],20)/20*100*10%</f>
        <v>41.992000000000004</v>
      </c>
      <c r="N705" s="3" t="str" cm="1">
        <f t="array" ref="N70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05" s="3" t="str">
        <f t="shared" si="20"/>
        <v>High Risk</v>
      </c>
      <c r="P705" s="3" t="str">
        <f t="shared" si="21"/>
        <v>24-25</v>
      </c>
    </row>
    <row r="706" spans="1:16">
      <c r="A706" t="s">
        <v>740</v>
      </c>
      <c r="B706">
        <v>22</v>
      </c>
      <c r="C706" t="s">
        <v>4</v>
      </c>
      <c r="D706">
        <v>87</v>
      </c>
      <c r="E706">
        <v>7</v>
      </c>
      <c r="F706">
        <v>9.02</v>
      </c>
      <c r="G706">
        <v>71.47</v>
      </c>
      <c r="H706">
        <v>30.24</v>
      </c>
      <c r="I706">
        <v>8</v>
      </c>
      <c r="J706">
        <v>2</v>
      </c>
      <c r="K706">
        <f>(StudentData[[#This Row],[Midterm_Grade]]*40%)+(StudentData[[#This Row],[Final_Grade]]*60%)</f>
        <v>46.731999999999999</v>
      </c>
      <c r="L706">
        <f>StudentData[[#This Row],[Attendance_Percentage]]*40%+StudentData[[#This Row],[Assignments_Completed]]*2+StudentData[[#This Row],[Class_Participation]]*2+StudentData[[#This Row],[Projects_Submitted]]*4</f>
        <v>74.84</v>
      </c>
      <c r="M706">
        <f>StudentData[[#This Row],[Academic_Score]]*60%+StudentData[[#This Row],[Engagement_Score]]*30%+MIN(StudentData[[#This Row],[Study_Hours_per_Week]],20)/20*100*10%</f>
        <v>54.491199999999999</v>
      </c>
      <c r="N706" s="3" t="str" cm="1">
        <f t="array" ref="N70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06" s="3" t="str">
        <f t="shared" ref="O706:O769" si="22">IF(AND(D706&lt;60,K706&lt;50),"High Risk",IF(OR(D706&lt;70,K706&lt;60),"Medium Risk","Low Risk"))</f>
        <v>Medium Risk</v>
      </c>
      <c r="P706" s="3" t="str">
        <f t="shared" ref="P706:P769" si="23">IF(B706&lt;=20,"18-20",IF(B706&lt;=23,"21-23","24-25"))</f>
        <v>21-23</v>
      </c>
    </row>
    <row r="707" spans="1:16">
      <c r="A707" t="s">
        <v>741</v>
      </c>
      <c r="B707">
        <v>22</v>
      </c>
      <c r="C707" t="s">
        <v>4</v>
      </c>
      <c r="D707">
        <v>95.9</v>
      </c>
      <c r="E707">
        <v>6</v>
      </c>
      <c r="F707">
        <v>2.15</v>
      </c>
      <c r="G707">
        <v>24.02</v>
      </c>
      <c r="H707">
        <v>5.08</v>
      </c>
      <c r="I707">
        <v>6</v>
      </c>
      <c r="J707">
        <v>4</v>
      </c>
      <c r="K707">
        <f>(StudentData[[#This Row],[Midterm_Grade]]*40%)+(StudentData[[#This Row],[Final_Grade]]*60%)</f>
        <v>12.656000000000001</v>
      </c>
      <c r="L707">
        <f>StudentData[[#This Row],[Attendance_Percentage]]*40%+StudentData[[#This Row],[Assignments_Completed]]*2+StudentData[[#This Row],[Class_Participation]]*2+StudentData[[#This Row],[Projects_Submitted]]*4</f>
        <v>70.66</v>
      </c>
      <c r="M707">
        <f>StudentData[[#This Row],[Academic_Score]]*60%+StudentData[[#This Row],[Engagement_Score]]*30%+MIN(StudentData[[#This Row],[Study_Hours_per_Week]],20)/20*100*10%</f>
        <v>31.791599999999995</v>
      </c>
      <c r="N707" s="3" t="str" cm="1">
        <f t="array" ref="N70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07" s="3" t="str">
        <f t="shared" si="22"/>
        <v>Medium Risk</v>
      </c>
      <c r="P707" s="3" t="str">
        <f t="shared" si="23"/>
        <v>21-23</v>
      </c>
    </row>
    <row r="708" spans="1:16">
      <c r="A708" t="s">
        <v>742</v>
      </c>
      <c r="B708">
        <v>21</v>
      </c>
      <c r="C708" t="s">
        <v>4</v>
      </c>
      <c r="D708">
        <v>64</v>
      </c>
      <c r="E708">
        <v>2</v>
      </c>
      <c r="F708">
        <v>8.84</v>
      </c>
      <c r="G708">
        <v>44.38</v>
      </c>
      <c r="H708">
        <v>46.83</v>
      </c>
      <c r="I708">
        <v>11</v>
      </c>
      <c r="J708">
        <v>0</v>
      </c>
      <c r="K708">
        <f>(StudentData[[#This Row],[Midterm_Grade]]*40%)+(StudentData[[#This Row],[Final_Grade]]*60%)</f>
        <v>45.85</v>
      </c>
      <c r="L708">
        <f>StudentData[[#This Row],[Attendance_Percentage]]*40%+StudentData[[#This Row],[Assignments_Completed]]*2+StudentData[[#This Row],[Class_Participation]]*2+StudentData[[#This Row],[Projects_Submitted]]*4</f>
        <v>47.28</v>
      </c>
      <c r="M708">
        <f>StudentData[[#This Row],[Academic_Score]]*60%+StudentData[[#This Row],[Engagement_Score]]*30%+MIN(StudentData[[#This Row],[Study_Hours_per_Week]],20)/20*100*10%</f>
        <v>47.194000000000003</v>
      </c>
      <c r="N708" s="3" t="str" cm="1">
        <f t="array" ref="N70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08" s="3" t="str">
        <f t="shared" si="22"/>
        <v>Medium Risk</v>
      </c>
      <c r="P708" s="3" t="str">
        <f t="shared" si="23"/>
        <v>21-23</v>
      </c>
    </row>
    <row r="709" spans="1:16">
      <c r="A709" t="s">
        <v>743</v>
      </c>
      <c r="B709">
        <v>25</v>
      </c>
      <c r="C709" t="s">
        <v>5</v>
      </c>
      <c r="D709">
        <v>92.92</v>
      </c>
      <c r="E709">
        <v>1</v>
      </c>
      <c r="F709">
        <v>5.59</v>
      </c>
      <c r="G709">
        <v>28.24</v>
      </c>
      <c r="H709">
        <v>85.31</v>
      </c>
      <c r="I709">
        <v>8</v>
      </c>
      <c r="J709">
        <v>3</v>
      </c>
      <c r="K709">
        <f>(StudentData[[#This Row],[Midterm_Grade]]*40%)+(StudentData[[#This Row],[Final_Grade]]*60%)</f>
        <v>62.481999999999999</v>
      </c>
      <c r="L709">
        <f>StudentData[[#This Row],[Attendance_Percentage]]*40%+StudentData[[#This Row],[Assignments_Completed]]*2+StudentData[[#This Row],[Class_Participation]]*2+StudentData[[#This Row],[Projects_Submitted]]*4</f>
        <v>62.347999999999999</v>
      </c>
      <c r="M709">
        <f>StudentData[[#This Row],[Academic_Score]]*60%+StudentData[[#This Row],[Engagement_Score]]*30%+MIN(StudentData[[#This Row],[Study_Hours_per_Week]],20)/20*100*10%</f>
        <v>60.193599999999996</v>
      </c>
      <c r="N709" s="3" t="str" cm="1">
        <f t="array" ref="N709">_xlfn.IFS(StudentData[[#This Row],[Success_Score]]&gt;=85,"Exceptional",StudentData[[#This Row],[Success_Score]]&gt;=70,"Strong",StudentData[[#This Row],[Success_Score]]&gt;=55,"Developing",TRUE,"Needs Improvement")</f>
        <v>Developing</v>
      </c>
      <c r="O709" s="3" t="str">
        <f t="shared" si="22"/>
        <v>Low Risk</v>
      </c>
      <c r="P709" s="3" t="str">
        <f t="shared" si="23"/>
        <v>24-25</v>
      </c>
    </row>
    <row r="710" spans="1:16">
      <c r="A710" t="s">
        <v>744</v>
      </c>
      <c r="B710">
        <v>25</v>
      </c>
      <c r="C710" t="s">
        <v>5</v>
      </c>
      <c r="D710">
        <v>64.61</v>
      </c>
      <c r="E710">
        <v>6</v>
      </c>
      <c r="F710">
        <v>8.2799999999999994</v>
      </c>
      <c r="G710">
        <v>8.1</v>
      </c>
      <c r="H710">
        <v>93.36</v>
      </c>
      <c r="I710">
        <v>5</v>
      </c>
      <c r="J710">
        <v>4</v>
      </c>
      <c r="K710">
        <f>(StudentData[[#This Row],[Midterm_Grade]]*40%)+(StudentData[[#This Row],[Final_Grade]]*60%)</f>
        <v>59.256</v>
      </c>
      <c r="L710">
        <f>StudentData[[#This Row],[Attendance_Percentage]]*40%+StudentData[[#This Row],[Assignments_Completed]]*2+StudentData[[#This Row],[Class_Participation]]*2+StudentData[[#This Row],[Projects_Submitted]]*4</f>
        <v>70.403999999999996</v>
      </c>
      <c r="M710">
        <f>StudentData[[#This Row],[Academic_Score]]*60%+StudentData[[#This Row],[Engagement_Score]]*30%+MIN(StudentData[[#This Row],[Study_Hours_per_Week]],20)/20*100*10%</f>
        <v>59.174799999999991</v>
      </c>
      <c r="N710" s="3" t="str" cm="1">
        <f t="array" ref="N710">_xlfn.IFS(StudentData[[#This Row],[Success_Score]]&gt;=85,"Exceptional",StudentData[[#This Row],[Success_Score]]&gt;=70,"Strong",StudentData[[#This Row],[Success_Score]]&gt;=55,"Developing",TRUE,"Needs Improvement")</f>
        <v>Developing</v>
      </c>
      <c r="O710" s="3" t="str">
        <f t="shared" si="22"/>
        <v>Medium Risk</v>
      </c>
      <c r="P710" s="3" t="str">
        <f t="shared" si="23"/>
        <v>24-25</v>
      </c>
    </row>
    <row r="711" spans="1:16">
      <c r="A711" t="s">
        <v>745</v>
      </c>
      <c r="B711">
        <v>25</v>
      </c>
      <c r="C711" t="s">
        <v>6</v>
      </c>
      <c r="D711">
        <v>95.54</v>
      </c>
      <c r="E711">
        <v>2</v>
      </c>
      <c r="F711">
        <v>7.13</v>
      </c>
      <c r="G711">
        <v>87.66</v>
      </c>
      <c r="H711">
        <v>93.26</v>
      </c>
      <c r="I711">
        <v>1</v>
      </c>
      <c r="J711">
        <v>4</v>
      </c>
      <c r="K711">
        <f>(StudentData[[#This Row],[Midterm_Grade]]*40%)+(StudentData[[#This Row],[Final_Grade]]*60%)</f>
        <v>91.02000000000001</v>
      </c>
      <c r="L711">
        <f>StudentData[[#This Row],[Attendance_Percentage]]*40%+StudentData[[#This Row],[Assignments_Completed]]*2+StudentData[[#This Row],[Class_Participation]]*2+StudentData[[#This Row],[Projects_Submitted]]*4</f>
        <v>72.475999999999999</v>
      </c>
      <c r="M711">
        <f>StudentData[[#This Row],[Academic_Score]]*60%+StudentData[[#This Row],[Engagement_Score]]*30%+MIN(StudentData[[#This Row],[Study_Hours_per_Week]],20)/20*100*10%</f>
        <v>76.854799999999997</v>
      </c>
      <c r="N711" s="3" t="str" cm="1">
        <f t="array" ref="N711">_xlfn.IFS(StudentData[[#This Row],[Success_Score]]&gt;=85,"Exceptional",StudentData[[#This Row],[Success_Score]]&gt;=70,"Strong",StudentData[[#This Row],[Success_Score]]&gt;=55,"Developing",TRUE,"Needs Improvement")</f>
        <v>Strong</v>
      </c>
      <c r="O711" s="3" t="str">
        <f t="shared" si="22"/>
        <v>Low Risk</v>
      </c>
      <c r="P711" s="3" t="str">
        <f t="shared" si="23"/>
        <v>24-25</v>
      </c>
    </row>
    <row r="712" spans="1:16">
      <c r="A712" t="s">
        <v>746</v>
      </c>
      <c r="B712">
        <v>24</v>
      </c>
      <c r="C712" t="s">
        <v>5</v>
      </c>
      <c r="D712">
        <v>87.7</v>
      </c>
      <c r="E712">
        <v>2</v>
      </c>
      <c r="F712">
        <v>6.97</v>
      </c>
      <c r="G712">
        <v>72.89</v>
      </c>
      <c r="H712">
        <v>12.52</v>
      </c>
      <c r="I712">
        <v>8</v>
      </c>
      <c r="J712">
        <v>2</v>
      </c>
      <c r="K712">
        <f>(StudentData[[#This Row],[Midterm_Grade]]*40%)+(StudentData[[#This Row],[Final_Grade]]*60%)</f>
        <v>36.667999999999999</v>
      </c>
      <c r="L712">
        <f>StudentData[[#This Row],[Attendance_Percentage]]*40%+StudentData[[#This Row],[Assignments_Completed]]*2+StudentData[[#This Row],[Class_Participation]]*2+StudentData[[#This Row],[Projects_Submitted]]*4</f>
        <v>61.02</v>
      </c>
      <c r="M712">
        <f>StudentData[[#This Row],[Academic_Score]]*60%+StudentData[[#This Row],[Engagement_Score]]*30%+MIN(StudentData[[#This Row],[Study_Hours_per_Week]],20)/20*100*10%</f>
        <v>44.306799999999996</v>
      </c>
      <c r="N712" s="3" t="str" cm="1">
        <f t="array" ref="N71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12" s="3" t="str">
        <f t="shared" si="22"/>
        <v>Medium Risk</v>
      </c>
      <c r="P712" s="3" t="str">
        <f t="shared" si="23"/>
        <v>24-25</v>
      </c>
    </row>
    <row r="713" spans="1:16">
      <c r="A713" t="s">
        <v>747</v>
      </c>
      <c r="B713">
        <v>19</v>
      </c>
      <c r="C713" t="s">
        <v>4</v>
      </c>
      <c r="D713">
        <v>90.25</v>
      </c>
      <c r="E713">
        <v>1</v>
      </c>
      <c r="F713">
        <v>3.24</v>
      </c>
      <c r="G713">
        <v>30.15</v>
      </c>
      <c r="H713">
        <v>38.21</v>
      </c>
      <c r="I713">
        <v>16</v>
      </c>
      <c r="J713">
        <v>4</v>
      </c>
      <c r="K713">
        <f>(StudentData[[#This Row],[Midterm_Grade]]*40%)+(StudentData[[#This Row],[Final_Grade]]*60%)</f>
        <v>34.985999999999997</v>
      </c>
      <c r="L713">
        <f>StudentData[[#This Row],[Attendance_Percentage]]*40%+StudentData[[#This Row],[Assignments_Completed]]*2+StudentData[[#This Row],[Class_Participation]]*2+StudentData[[#This Row],[Projects_Submitted]]*4</f>
        <v>60.58</v>
      </c>
      <c r="M713">
        <f>StudentData[[#This Row],[Academic_Score]]*60%+StudentData[[#This Row],[Engagement_Score]]*30%+MIN(StudentData[[#This Row],[Study_Hours_per_Week]],20)/20*100*10%</f>
        <v>47.165599999999998</v>
      </c>
      <c r="N713" s="3" t="str" cm="1">
        <f t="array" ref="N71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13" s="3" t="str">
        <f t="shared" si="22"/>
        <v>Medium Risk</v>
      </c>
      <c r="P713" s="3" t="str">
        <f t="shared" si="23"/>
        <v>18-20</v>
      </c>
    </row>
    <row r="714" spans="1:16">
      <c r="A714" t="s">
        <v>748</v>
      </c>
      <c r="B714">
        <v>18</v>
      </c>
      <c r="C714" t="s">
        <v>5</v>
      </c>
      <c r="D714">
        <v>50.9</v>
      </c>
      <c r="E714">
        <v>3</v>
      </c>
      <c r="F714">
        <v>2.34</v>
      </c>
      <c r="G714">
        <v>59.94</v>
      </c>
      <c r="H714">
        <v>2.82</v>
      </c>
      <c r="I714">
        <v>0</v>
      </c>
      <c r="J714">
        <v>1</v>
      </c>
      <c r="K714">
        <f>(StudentData[[#This Row],[Midterm_Grade]]*40%)+(StudentData[[#This Row],[Final_Grade]]*60%)</f>
        <v>25.667999999999999</v>
      </c>
      <c r="L714">
        <f>StudentData[[#This Row],[Attendance_Percentage]]*40%+StudentData[[#This Row],[Assignments_Completed]]*2+StudentData[[#This Row],[Class_Participation]]*2+StudentData[[#This Row],[Projects_Submitted]]*4</f>
        <v>35.04</v>
      </c>
      <c r="M714">
        <f>StudentData[[#This Row],[Academic_Score]]*60%+StudentData[[#This Row],[Engagement_Score]]*30%+MIN(StudentData[[#This Row],[Study_Hours_per_Week]],20)/20*100*10%</f>
        <v>25.912799999999997</v>
      </c>
      <c r="N714" s="3" t="str" cm="1">
        <f t="array" ref="N71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14" s="3" t="str">
        <f t="shared" si="22"/>
        <v>High Risk</v>
      </c>
      <c r="P714" s="3" t="str">
        <f t="shared" si="23"/>
        <v>18-20</v>
      </c>
    </row>
    <row r="715" spans="1:16">
      <c r="A715" t="s">
        <v>749</v>
      </c>
      <c r="B715">
        <v>21</v>
      </c>
      <c r="C715" t="s">
        <v>4</v>
      </c>
      <c r="D715">
        <v>98.14</v>
      </c>
      <c r="E715">
        <v>7</v>
      </c>
      <c r="F715">
        <v>2.11</v>
      </c>
      <c r="G715">
        <v>20.13</v>
      </c>
      <c r="H715">
        <v>85.52</v>
      </c>
      <c r="I715">
        <v>18</v>
      </c>
      <c r="J715">
        <v>0</v>
      </c>
      <c r="K715">
        <f>(StudentData[[#This Row],[Midterm_Grade]]*40%)+(StudentData[[#This Row],[Final_Grade]]*60%)</f>
        <v>59.363999999999997</v>
      </c>
      <c r="L715">
        <f>StudentData[[#This Row],[Attendance_Percentage]]*40%+StudentData[[#This Row],[Assignments_Completed]]*2+StudentData[[#This Row],[Class_Participation]]*2+StudentData[[#This Row],[Projects_Submitted]]*4</f>
        <v>57.475999999999999</v>
      </c>
      <c r="M715">
        <f>StudentData[[#This Row],[Academic_Score]]*60%+StudentData[[#This Row],[Engagement_Score]]*30%+MIN(StudentData[[#This Row],[Study_Hours_per_Week]],20)/20*100*10%</f>
        <v>61.861199999999997</v>
      </c>
      <c r="N715" s="3" t="str" cm="1">
        <f t="array" ref="N715">_xlfn.IFS(StudentData[[#This Row],[Success_Score]]&gt;=85,"Exceptional",StudentData[[#This Row],[Success_Score]]&gt;=70,"Strong",StudentData[[#This Row],[Success_Score]]&gt;=55,"Developing",TRUE,"Needs Improvement")</f>
        <v>Developing</v>
      </c>
      <c r="O715" s="3" t="str">
        <f t="shared" si="22"/>
        <v>Medium Risk</v>
      </c>
      <c r="P715" s="3" t="str">
        <f t="shared" si="23"/>
        <v>21-23</v>
      </c>
    </row>
    <row r="716" spans="1:16">
      <c r="A716" t="s">
        <v>750</v>
      </c>
      <c r="B716">
        <v>25</v>
      </c>
      <c r="C716" t="s">
        <v>4</v>
      </c>
      <c r="D716">
        <v>86.33</v>
      </c>
      <c r="E716">
        <v>0</v>
      </c>
      <c r="F716">
        <v>8.57</v>
      </c>
      <c r="G716">
        <v>89.02</v>
      </c>
      <c r="H716">
        <v>35.880000000000003</v>
      </c>
      <c r="I716">
        <v>5</v>
      </c>
      <c r="J716">
        <v>1</v>
      </c>
      <c r="K716">
        <f>(StudentData[[#This Row],[Midterm_Grade]]*40%)+(StudentData[[#This Row],[Final_Grade]]*60%)</f>
        <v>57.135999999999996</v>
      </c>
      <c r="L716">
        <f>StudentData[[#This Row],[Attendance_Percentage]]*40%+StudentData[[#This Row],[Assignments_Completed]]*2+StudentData[[#This Row],[Class_Participation]]*2+StudentData[[#This Row],[Projects_Submitted]]*4</f>
        <v>55.672000000000004</v>
      </c>
      <c r="M716">
        <f>StudentData[[#This Row],[Academic_Score]]*60%+StudentData[[#This Row],[Engagement_Score]]*30%+MIN(StudentData[[#This Row],[Study_Hours_per_Week]],20)/20*100*10%</f>
        <v>53.483199999999997</v>
      </c>
      <c r="N716" s="3" t="str" cm="1">
        <f t="array" ref="N71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16" s="3" t="str">
        <f t="shared" si="22"/>
        <v>Medium Risk</v>
      </c>
      <c r="P716" s="3" t="str">
        <f t="shared" si="23"/>
        <v>24-25</v>
      </c>
    </row>
    <row r="717" spans="1:16">
      <c r="A717" t="s">
        <v>751</v>
      </c>
      <c r="B717">
        <v>25</v>
      </c>
      <c r="C717" t="s">
        <v>5</v>
      </c>
      <c r="D717">
        <v>65.239999999999995</v>
      </c>
      <c r="E717">
        <v>0</v>
      </c>
      <c r="F717">
        <v>8.1999999999999993</v>
      </c>
      <c r="G717">
        <v>11.49</v>
      </c>
      <c r="H717">
        <v>63.11</v>
      </c>
      <c r="I717">
        <v>4</v>
      </c>
      <c r="J717">
        <v>2</v>
      </c>
      <c r="K717">
        <f>(StudentData[[#This Row],[Midterm_Grade]]*40%)+(StudentData[[#This Row],[Final_Grade]]*60%)</f>
        <v>42.462000000000003</v>
      </c>
      <c r="L717">
        <f>StudentData[[#This Row],[Attendance_Percentage]]*40%+StudentData[[#This Row],[Assignments_Completed]]*2+StudentData[[#This Row],[Class_Participation]]*2+StudentData[[#This Row],[Projects_Submitted]]*4</f>
        <v>50.495999999999995</v>
      </c>
      <c r="M717">
        <f>StudentData[[#This Row],[Academic_Score]]*60%+StudentData[[#This Row],[Engagement_Score]]*30%+MIN(StudentData[[#This Row],[Study_Hours_per_Week]],20)/20*100*10%</f>
        <v>42.625999999999998</v>
      </c>
      <c r="N717" s="3" t="str" cm="1">
        <f t="array" ref="N71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17" s="3" t="str">
        <f t="shared" si="22"/>
        <v>Medium Risk</v>
      </c>
      <c r="P717" s="3" t="str">
        <f t="shared" si="23"/>
        <v>24-25</v>
      </c>
    </row>
    <row r="718" spans="1:16">
      <c r="A718" t="s">
        <v>752</v>
      </c>
      <c r="B718">
        <v>20</v>
      </c>
      <c r="C718" t="s">
        <v>5</v>
      </c>
      <c r="D718">
        <v>91.47</v>
      </c>
      <c r="E718">
        <v>4</v>
      </c>
      <c r="F718">
        <v>4.41</v>
      </c>
      <c r="G718">
        <v>0.38</v>
      </c>
      <c r="H718">
        <v>71.489999999999995</v>
      </c>
      <c r="I718">
        <v>1</v>
      </c>
      <c r="J718">
        <v>5</v>
      </c>
      <c r="K718">
        <f>(StudentData[[#This Row],[Midterm_Grade]]*40%)+(StudentData[[#This Row],[Final_Grade]]*60%)</f>
        <v>43.045999999999999</v>
      </c>
      <c r="L718">
        <f>StudentData[[#This Row],[Attendance_Percentage]]*40%+StudentData[[#This Row],[Assignments_Completed]]*2+StudentData[[#This Row],[Class_Participation]]*2+StudentData[[#This Row],[Projects_Submitted]]*4</f>
        <v>73.408000000000001</v>
      </c>
      <c r="M718">
        <f>StudentData[[#This Row],[Academic_Score]]*60%+StudentData[[#This Row],[Engagement_Score]]*30%+MIN(StudentData[[#This Row],[Study_Hours_per_Week]],20)/20*100*10%</f>
        <v>48.35</v>
      </c>
      <c r="N718" s="3" t="str" cm="1">
        <f t="array" ref="N71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18" s="3" t="str">
        <f t="shared" si="22"/>
        <v>Medium Risk</v>
      </c>
      <c r="P718" s="3" t="str">
        <f t="shared" si="23"/>
        <v>18-20</v>
      </c>
    </row>
    <row r="719" spans="1:16">
      <c r="A719" t="s">
        <v>753</v>
      </c>
      <c r="B719">
        <v>21</v>
      </c>
      <c r="C719" t="s">
        <v>4</v>
      </c>
      <c r="D719">
        <v>64.08</v>
      </c>
      <c r="E719">
        <v>10</v>
      </c>
      <c r="F719">
        <v>1.32</v>
      </c>
      <c r="G719">
        <v>50.2</v>
      </c>
      <c r="H719">
        <v>42.98</v>
      </c>
      <c r="I719">
        <v>8</v>
      </c>
      <c r="J719">
        <v>2</v>
      </c>
      <c r="K719">
        <f>(StudentData[[#This Row],[Midterm_Grade]]*40%)+(StudentData[[#This Row],[Final_Grade]]*60%)</f>
        <v>45.867999999999995</v>
      </c>
      <c r="L719">
        <f>StudentData[[#This Row],[Attendance_Percentage]]*40%+StudentData[[#This Row],[Assignments_Completed]]*2+StudentData[[#This Row],[Class_Participation]]*2+StudentData[[#This Row],[Projects_Submitted]]*4</f>
        <v>56.272000000000006</v>
      </c>
      <c r="M719">
        <f>StudentData[[#This Row],[Academic_Score]]*60%+StudentData[[#This Row],[Engagement_Score]]*30%+MIN(StudentData[[#This Row],[Study_Hours_per_Week]],20)/20*100*10%</f>
        <v>48.4024</v>
      </c>
      <c r="N719" s="3" t="str" cm="1">
        <f t="array" ref="N71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19" s="3" t="str">
        <f t="shared" si="22"/>
        <v>Medium Risk</v>
      </c>
      <c r="P719" s="3" t="str">
        <f t="shared" si="23"/>
        <v>21-23</v>
      </c>
    </row>
    <row r="720" spans="1:16">
      <c r="A720" t="s">
        <v>754</v>
      </c>
      <c r="B720">
        <v>25</v>
      </c>
      <c r="C720" t="s">
        <v>4</v>
      </c>
      <c r="D720">
        <v>93.64</v>
      </c>
      <c r="E720">
        <v>4</v>
      </c>
      <c r="F720">
        <v>3.82</v>
      </c>
      <c r="G720">
        <v>58.31</v>
      </c>
      <c r="H720">
        <v>30.64</v>
      </c>
      <c r="I720">
        <v>13</v>
      </c>
      <c r="J720">
        <v>0</v>
      </c>
      <c r="K720">
        <f>(StudentData[[#This Row],[Midterm_Grade]]*40%)+(StudentData[[#This Row],[Final_Grade]]*60%)</f>
        <v>41.707999999999998</v>
      </c>
      <c r="L720">
        <f>StudentData[[#This Row],[Attendance_Percentage]]*40%+StudentData[[#This Row],[Assignments_Completed]]*2+StudentData[[#This Row],[Class_Participation]]*2+StudentData[[#This Row],[Projects_Submitted]]*4</f>
        <v>53.096000000000004</v>
      </c>
      <c r="M720">
        <f>StudentData[[#This Row],[Academic_Score]]*60%+StudentData[[#This Row],[Engagement_Score]]*30%+MIN(StudentData[[#This Row],[Study_Hours_per_Week]],20)/20*100*10%</f>
        <v>47.453600000000002</v>
      </c>
      <c r="N720" s="3" t="str" cm="1">
        <f t="array" ref="N72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20" s="3" t="str">
        <f t="shared" si="22"/>
        <v>Medium Risk</v>
      </c>
      <c r="P720" s="3" t="str">
        <f t="shared" si="23"/>
        <v>24-25</v>
      </c>
    </row>
    <row r="721" spans="1:16">
      <c r="A721" t="s">
        <v>755</v>
      </c>
      <c r="B721">
        <v>21</v>
      </c>
      <c r="C721" t="s">
        <v>5</v>
      </c>
      <c r="D721">
        <v>55.63</v>
      </c>
      <c r="E721">
        <v>10</v>
      </c>
      <c r="F721">
        <v>6.19</v>
      </c>
      <c r="G721">
        <v>57.9</v>
      </c>
      <c r="H721">
        <v>96.22</v>
      </c>
      <c r="I721">
        <v>3</v>
      </c>
      <c r="J721">
        <v>4</v>
      </c>
      <c r="K721">
        <f>(StudentData[[#This Row],[Midterm_Grade]]*40%)+(StudentData[[#This Row],[Final_Grade]]*60%)</f>
        <v>80.891999999999996</v>
      </c>
      <c r="L721">
        <f>StudentData[[#This Row],[Attendance_Percentage]]*40%+StudentData[[#This Row],[Assignments_Completed]]*2+StudentData[[#This Row],[Class_Participation]]*2+StudentData[[#This Row],[Projects_Submitted]]*4</f>
        <v>70.632000000000005</v>
      </c>
      <c r="M721">
        <f>StudentData[[#This Row],[Academic_Score]]*60%+StudentData[[#This Row],[Engagement_Score]]*30%+MIN(StudentData[[#This Row],[Study_Hours_per_Week]],20)/20*100*10%</f>
        <v>71.224800000000002</v>
      </c>
      <c r="N721" s="3" t="str" cm="1">
        <f t="array" ref="N721">_xlfn.IFS(StudentData[[#This Row],[Success_Score]]&gt;=85,"Exceptional",StudentData[[#This Row],[Success_Score]]&gt;=70,"Strong",StudentData[[#This Row],[Success_Score]]&gt;=55,"Developing",TRUE,"Needs Improvement")</f>
        <v>Strong</v>
      </c>
      <c r="O721" s="3" t="str">
        <f t="shared" si="22"/>
        <v>Medium Risk</v>
      </c>
      <c r="P721" s="3" t="str">
        <f t="shared" si="23"/>
        <v>21-23</v>
      </c>
    </row>
    <row r="722" spans="1:16">
      <c r="A722" t="s">
        <v>756</v>
      </c>
      <c r="B722">
        <v>19</v>
      </c>
      <c r="C722" t="s">
        <v>6</v>
      </c>
      <c r="D722">
        <v>85.18</v>
      </c>
      <c r="E722">
        <v>0</v>
      </c>
      <c r="F722">
        <v>4.54</v>
      </c>
      <c r="G722">
        <v>5.45</v>
      </c>
      <c r="H722">
        <v>96.45</v>
      </c>
      <c r="I722">
        <v>3</v>
      </c>
      <c r="J722">
        <v>3</v>
      </c>
      <c r="K722">
        <f>(StudentData[[#This Row],[Midterm_Grade]]*40%)+(StudentData[[#This Row],[Final_Grade]]*60%)</f>
        <v>60.05</v>
      </c>
      <c r="L722">
        <f>StudentData[[#This Row],[Attendance_Percentage]]*40%+StudentData[[#This Row],[Assignments_Completed]]*2+StudentData[[#This Row],[Class_Participation]]*2+StudentData[[#This Row],[Projects_Submitted]]*4</f>
        <v>55.152000000000001</v>
      </c>
      <c r="M722">
        <f>StudentData[[#This Row],[Academic_Score]]*60%+StudentData[[#This Row],[Engagement_Score]]*30%+MIN(StudentData[[#This Row],[Study_Hours_per_Week]],20)/20*100*10%</f>
        <v>54.075599999999994</v>
      </c>
      <c r="N722" s="3" t="str" cm="1">
        <f t="array" ref="N72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22" s="3" t="str">
        <f t="shared" si="22"/>
        <v>Low Risk</v>
      </c>
      <c r="P722" s="3" t="str">
        <f t="shared" si="23"/>
        <v>18-20</v>
      </c>
    </row>
    <row r="723" spans="1:16">
      <c r="A723" t="s">
        <v>757</v>
      </c>
      <c r="B723">
        <v>20</v>
      </c>
      <c r="C723" t="s">
        <v>5</v>
      </c>
      <c r="D723">
        <v>77.03</v>
      </c>
      <c r="E723">
        <v>5</v>
      </c>
      <c r="F723">
        <v>7.8</v>
      </c>
      <c r="G723">
        <v>31.4</v>
      </c>
      <c r="H723">
        <v>28.94</v>
      </c>
      <c r="I723">
        <v>14</v>
      </c>
      <c r="J723">
        <v>2</v>
      </c>
      <c r="K723">
        <f>(StudentData[[#This Row],[Midterm_Grade]]*40%)+(StudentData[[#This Row],[Final_Grade]]*60%)</f>
        <v>29.923999999999999</v>
      </c>
      <c r="L723">
        <f>StudentData[[#This Row],[Attendance_Percentage]]*40%+StudentData[[#This Row],[Assignments_Completed]]*2+StudentData[[#This Row],[Class_Participation]]*2+StudentData[[#This Row],[Projects_Submitted]]*4</f>
        <v>64.412000000000006</v>
      </c>
      <c r="M723">
        <f>StudentData[[#This Row],[Academic_Score]]*60%+StudentData[[#This Row],[Engagement_Score]]*30%+MIN(StudentData[[#This Row],[Study_Hours_per_Week]],20)/20*100*10%</f>
        <v>44.278000000000006</v>
      </c>
      <c r="N723" s="3" t="str" cm="1">
        <f t="array" ref="N72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23" s="3" t="str">
        <f t="shared" si="22"/>
        <v>Medium Risk</v>
      </c>
      <c r="P723" s="3" t="str">
        <f t="shared" si="23"/>
        <v>18-20</v>
      </c>
    </row>
    <row r="724" spans="1:16">
      <c r="A724" t="s">
        <v>758</v>
      </c>
      <c r="B724">
        <v>21</v>
      </c>
      <c r="C724" t="s">
        <v>5</v>
      </c>
      <c r="D724">
        <v>54.83</v>
      </c>
      <c r="E724">
        <v>0</v>
      </c>
      <c r="F724">
        <v>9.98</v>
      </c>
      <c r="G724">
        <v>49.92</v>
      </c>
      <c r="H724">
        <v>47.96</v>
      </c>
      <c r="I724">
        <v>7</v>
      </c>
      <c r="J724">
        <v>0</v>
      </c>
      <c r="K724">
        <f>(StudentData[[#This Row],[Midterm_Grade]]*40%)+(StudentData[[#This Row],[Final_Grade]]*60%)</f>
        <v>48.744</v>
      </c>
      <c r="L724">
        <f>StudentData[[#This Row],[Attendance_Percentage]]*40%+StudentData[[#This Row],[Assignments_Completed]]*2+StudentData[[#This Row],[Class_Participation]]*2+StudentData[[#This Row],[Projects_Submitted]]*4</f>
        <v>41.892000000000003</v>
      </c>
      <c r="M724">
        <f>StudentData[[#This Row],[Academic_Score]]*60%+StudentData[[#This Row],[Engagement_Score]]*30%+MIN(StudentData[[#This Row],[Study_Hours_per_Week]],20)/20*100*10%</f>
        <v>45.314</v>
      </c>
      <c r="N724" s="3" t="str" cm="1">
        <f t="array" ref="N72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24" s="3" t="str">
        <f t="shared" si="22"/>
        <v>High Risk</v>
      </c>
      <c r="P724" s="3" t="str">
        <f t="shared" si="23"/>
        <v>21-23</v>
      </c>
    </row>
    <row r="725" spans="1:16">
      <c r="A725" t="s">
        <v>759</v>
      </c>
      <c r="B725">
        <v>18</v>
      </c>
      <c r="C725" t="s">
        <v>6</v>
      </c>
      <c r="D725">
        <v>62.09</v>
      </c>
      <c r="E725">
        <v>4</v>
      </c>
      <c r="F725">
        <v>1.91</v>
      </c>
      <c r="G725">
        <v>21.66</v>
      </c>
      <c r="H725">
        <v>97.28</v>
      </c>
      <c r="I725">
        <v>3</v>
      </c>
      <c r="J725">
        <v>3</v>
      </c>
      <c r="K725">
        <f>(StudentData[[#This Row],[Midterm_Grade]]*40%)+(StudentData[[#This Row],[Final_Grade]]*60%)</f>
        <v>67.031999999999996</v>
      </c>
      <c r="L725">
        <f>StudentData[[#This Row],[Attendance_Percentage]]*40%+StudentData[[#This Row],[Assignments_Completed]]*2+StudentData[[#This Row],[Class_Participation]]*2+StudentData[[#This Row],[Projects_Submitted]]*4</f>
        <v>48.655999999999999</v>
      </c>
      <c r="M725">
        <f>StudentData[[#This Row],[Academic_Score]]*60%+StudentData[[#This Row],[Engagement_Score]]*30%+MIN(StudentData[[#This Row],[Study_Hours_per_Week]],20)/20*100*10%</f>
        <v>56.315999999999988</v>
      </c>
      <c r="N725" s="3" t="str" cm="1">
        <f t="array" ref="N725">_xlfn.IFS(StudentData[[#This Row],[Success_Score]]&gt;=85,"Exceptional",StudentData[[#This Row],[Success_Score]]&gt;=70,"Strong",StudentData[[#This Row],[Success_Score]]&gt;=55,"Developing",TRUE,"Needs Improvement")</f>
        <v>Developing</v>
      </c>
      <c r="O725" s="3" t="str">
        <f t="shared" si="22"/>
        <v>Medium Risk</v>
      </c>
      <c r="P725" s="3" t="str">
        <f t="shared" si="23"/>
        <v>18-20</v>
      </c>
    </row>
    <row r="726" spans="1:16">
      <c r="A726" t="s">
        <v>760</v>
      </c>
      <c r="B726">
        <v>18</v>
      </c>
      <c r="C726" t="s">
        <v>5</v>
      </c>
      <c r="D726">
        <v>50.62</v>
      </c>
      <c r="E726">
        <v>8</v>
      </c>
      <c r="F726">
        <v>4.5999999999999996</v>
      </c>
      <c r="G726">
        <v>87.26</v>
      </c>
      <c r="H726">
        <v>0.49</v>
      </c>
      <c r="I726">
        <v>15</v>
      </c>
      <c r="J726">
        <v>4</v>
      </c>
      <c r="K726">
        <f>(StudentData[[#This Row],[Midterm_Grade]]*40%)+(StudentData[[#This Row],[Final_Grade]]*60%)</f>
        <v>35.198</v>
      </c>
      <c r="L726">
        <f>StudentData[[#This Row],[Attendance_Percentage]]*40%+StudentData[[#This Row],[Assignments_Completed]]*2+StudentData[[#This Row],[Class_Participation]]*2+StudentData[[#This Row],[Projects_Submitted]]*4</f>
        <v>61.448000000000008</v>
      </c>
      <c r="M726">
        <f>StudentData[[#This Row],[Academic_Score]]*60%+StudentData[[#This Row],[Engagement_Score]]*30%+MIN(StudentData[[#This Row],[Study_Hours_per_Week]],20)/20*100*10%</f>
        <v>47.053200000000004</v>
      </c>
      <c r="N726" s="3" t="str" cm="1">
        <f t="array" ref="N72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26" s="3" t="str">
        <f t="shared" si="22"/>
        <v>High Risk</v>
      </c>
      <c r="P726" s="3" t="str">
        <f t="shared" si="23"/>
        <v>18-20</v>
      </c>
    </row>
    <row r="727" spans="1:16">
      <c r="A727" t="s">
        <v>761</v>
      </c>
      <c r="B727">
        <v>22</v>
      </c>
      <c r="C727" t="s">
        <v>4</v>
      </c>
      <c r="D727">
        <v>73.44</v>
      </c>
      <c r="E727">
        <v>4</v>
      </c>
      <c r="F727">
        <v>4.3099999999999996</v>
      </c>
      <c r="G727">
        <v>8.7100000000000009</v>
      </c>
      <c r="H727">
        <v>41.27</v>
      </c>
      <c r="I727">
        <v>3</v>
      </c>
      <c r="J727">
        <v>5</v>
      </c>
      <c r="K727">
        <f>(StudentData[[#This Row],[Midterm_Grade]]*40%)+(StudentData[[#This Row],[Final_Grade]]*60%)</f>
        <v>28.246000000000002</v>
      </c>
      <c r="L727">
        <f>StudentData[[#This Row],[Attendance_Percentage]]*40%+StudentData[[#This Row],[Assignments_Completed]]*2+StudentData[[#This Row],[Class_Participation]]*2+StudentData[[#This Row],[Projects_Submitted]]*4</f>
        <v>65.996000000000009</v>
      </c>
      <c r="M727">
        <f>StudentData[[#This Row],[Academic_Score]]*60%+StudentData[[#This Row],[Engagement_Score]]*30%+MIN(StudentData[[#This Row],[Study_Hours_per_Week]],20)/20*100*10%</f>
        <v>38.246400000000008</v>
      </c>
      <c r="N727" s="3" t="str" cm="1">
        <f t="array" ref="N72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27" s="3" t="str">
        <f t="shared" si="22"/>
        <v>Medium Risk</v>
      </c>
      <c r="P727" s="3" t="str">
        <f t="shared" si="23"/>
        <v>21-23</v>
      </c>
    </row>
    <row r="728" spans="1:16">
      <c r="A728" t="s">
        <v>762</v>
      </c>
      <c r="B728">
        <v>20</v>
      </c>
      <c r="C728" t="s">
        <v>5</v>
      </c>
      <c r="D728">
        <v>65.06</v>
      </c>
      <c r="E728">
        <v>5</v>
      </c>
      <c r="F728">
        <v>3.04</v>
      </c>
      <c r="G728">
        <v>48.74</v>
      </c>
      <c r="H728">
        <v>10.050000000000001</v>
      </c>
      <c r="I728">
        <v>15</v>
      </c>
      <c r="J728">
        <v>2</v>
      </c>
      <c r="K728">
        <f>(StudentData[[#This Row],[Midterm_Grade]]*40%)+(StudentData[[#This Row],[Final_Grade]]*60%)</f>
        <v>25.526000000000003</v>
      </c>
      <c r="L728">
        <f>StudentData[[#This Row],[Attendance_Percentage]]*40%+StudentData[[#This Row],[Assignments_Completed]]*2+StudentData[[#This Row],[Class_Participation]]*2+StudentData[[#This Row],[Projects_Submitted]]*4</f>
        <v>50.103999999999999</v>
      </c>
      <c r="M728">
        <f>StudentData[[#This Row],[Academic_Score]]*60%+StudentData[[#This Row],[Engagement_Score]]*30%+MIN(StudentData[[#This Row],[Study_Hours_per_Week]],20)/20*100*10%</f>
        <v>37.846800000000002</v>
      </c>
      <c r="N728" s="3" t="str" cm="1">
        <f t="array" ref="N72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28" s="3" t="str">
        <f t="shared" si="22"/>
        <v>Medium Risk</v>
      </c>
      <c r="P728" s="3" t="str">
        <f t="shared" si="23"/>
        <v>18-20</v>
      </c>
    </row>
    <row r="729" spans="1:16">
      <c r="A729" t="s">
        <v>763</v>
      </c>
      <c r="B729">
        <v>20</v>
      </c>
      <c r="C729" t="s">
        <v>5</v>
      </c>
      <c r="D729">
        <v>79.92</v>
      </c>
      <c r="E729">
        <v>7</v>
      </c>
      <c r="F729">
        <v>1.98</v>
      </c>
      <c r="G729">
        <v>69.14</v>
      </c>
      <c r="H729">
        <v>50.92</v>
      </c>
      <c r="I729">
        <v>11</v>
      </c>
      <c r="J729">
        <v>5</v>
      </c>
      <c r="K729">
        <f>(StudentData[[#This Row],[Midterm_Grade]]*40%)+(StudentData[[#This Row],[Final_Grade]]*60%)</f>
        <v>58.207999999999998</v>
      </c>
      <c r="L729">
        <f>StudentData[[#This Row],[Attendance_Percentage]]*40%+StudentData[[#This Row],[Assignments_Completed]]*2+StudentData[[#This Row],[Class_Participation]]*2+StudentData[[#This Row],[Projects_Submitted]]*4</f>
        <v>69.927999999999997</v>
      </c>
      <c r="M729">
        <f>StudentData[[#This Row],[Academic_Score]]*60%+StudentData[[#This Row],[Engagement_Score]]*30%+MIN(StudentData[[#This Row],[Study_Hours_per_Week]],20)/20*100*10%</f>
        <v>61.403199999999998</v>
      </c>
      <c r="N729" s="3" t="str" cm="1">
        <f t="array" ref="N729">_xlfn.IFS(StudentData[[#This Row],[Success_Score]]&gt;=85,"Exceptional",StudentData[[#This Row],[Success_Score]]&gt;=70,"Strong",StudentData[[#This Row],[Success_Score]]&gt;=55,"Developing",TRUE,"Needs Improvement")</f>
        <v>Developing</v>
      </c>
      <c r="O729" s="3" t="str">
        <f t="shared" si="22"/>
        <v>Medium Risk</v>
      </c>
      <c r="P729" s="3" t="str">
        <f t="shared" si="23"/>
        <v>18-20</v>
      </c>
    </row>
    <row r="730" spans="1:16">
      <c r="A730" t="s">
        <v>764</v>
      </c>
      <c r="B730">
        <v>22</v>
      </c>
      <c r="C730" t="s">
        <v>6</v>
      </c>
      <c r="D730">
        <v>64.86</v>
      </c>
      <c r="E730">
        <v>10</v>
      </c>
      <c r="F730">
        <v>0.66</v>
      </c>
      <c r="G730">
        <v>26.18</v>
      </c>
      <c r="H730">
        <v>2.4700000000000002</v>
      </c>
      <c r="I730">
        <v>15</v>
      </c>
      <c r="J730">
        <v>0</v>
      </c>
      <c r="K730">
        <f>(StudentData[[#This Row],[Midterm_Grade]]*40%)+(StudentData[[#This Row],[Final_Grade]]*60%)</f>
        <v>11.954000000000001</v>
      </c>
      <c r="L730">
        <f>StudentData[[#This Row],[Attendance_Percentage]]*40%+StudentData[[#This Row],[Assignments_Completed]]*2+StudentData[[#This Row],[Class_Participation]]*2+StudentData[[#This Row],[Projects_Submitted]]*4</f>
        <v>47.264000000000003</v>
      </c>
      <c r="M730">
        <f>StudentData[[#This Row],[Academic_Score]]*60%+StudentData[[#This Row],[Engagement_Score]]*30%+MIN(StudentData[[#This Row],[Study_Hours_per_Week]],20)/20*100*10%</f>
        <v>28.851600000000001</v>
      </c>
      <c r="N730" s="3" t="str" cm="1">
        <f t="array" ref="N73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30" s="3" t="str">
        <f t="shared" si="22"/>
        <v>Medium Risk</v>
      </c>
      <c r="P730" s="3" t="str">
        <f t="shared" si="23"/>
        <v>21-23</v>
      </c>
    </row>
    <row r="731" spans="1:16">
      <c r="A731" t="s">
        <v>765</v>
      </c>
      <c r="B731">
        <v>21</v>
      </c>
      <c r="C731" t="s">
        <v>5</v>
      </c>
      <c r="D731">
        <v>65</v>
      </c>
      <c r="E731">
        <v>0</v>
      </c>
      <c r="F731">
        <v>8.8699999999999992</v>
      </c>
      <c r="G731">
        <v>62.42</v>
      </c>
      <c r="H731">
        <v>40.69</v>
      </c>
      <c r="I731">
        <v>18</v>
      </c>
      <c r="J731">
        <v>5</v>
      </c>
      <c r="K731">
        <f>(StudentData[[#This Row],[Midterm_Grade]]*40%)+(StudentData[[#This Row],[Final_Grade]]*60%)</f>
        <v>49.382000000000005</v>
      </c>
      <c r="L731">
        <f>StudentData[[#This Row],[Attendance_Percentage]]*40%+StudentData[[#This Row],[Assignments_Completed]]*2+StudentData[[#This Row],[Class_Participation]]*2+StudentData[[#This Row],[Projects_Submitted]]*4</f>
        <v>63.739999999999995</v>
      </c>
      <c r="M731">
        <f>StudentData[[#This Row],[Academic_Score]]*60%+StudentData[[#This Row],[Engagement_Score]]*30%+MIN(StudentData[[#This Row],[Study_Hours_per_Week]],20)/20*100*10%</f>
        <v>57.751199999999997</v>
      </c>
      <c r="N731" s="3" t="str" cm="1">
        <f t="array" ref="N731">_xlfn.IFS(StudentData[[#This Row],[Success_Score]]&gt;=85,"Exceptional",StudentData[[#This Row],[Success_Score]]&gt;=70,"Strong",StudentData[[#This Row],[Success_Score]]&gt;=55,"Developing",TRUE,"Needs Improvement")</f>
        <v>Developing</v>
      </c>
      <c r="O731" s="3" t="str">
        <f t="shared" si="22"/>
        <v>Medium Risk</v>
      </c>
      <c r="P731" s="3" t="str">
        <f t="shared" si="23"/>
        <v>21-23</v>
      </c>
    </row>
    <row r="732" spans="1:16">
      <c r="A732" t="s">
        <v>766</v>
      </c>
      <c r="B732">
        <v>20</v>
      </c>
      <c r="C732" t="s">
        <v>4</v>
      </c>
      <c r="D732">
        <v>87.16</v>
      </c>
      <c r="E732">
        <v>1</v>
      </c>
      <c r="F732">
        <v>4.2</v>
      </c>
      <c r="G732">
        <v>82.94</v>
      </c>
      <c r="H732">
        <v>22.07</v>
      </c>
      <c r="I732">
        <v>7</v>
      </c>
      <c r="J732">
        <v>5</v>
      </c>
      <c r="K732">
        <f>(StudentData[[#This Row],[Midterm_Grade]]*40%)+(StudentData[[#This Row],[Final_Grade]]*60%)</f>
        <v>46.417999999999999</v>
      </c>
      <c r="L732">
        <f>StudentData[[#This Row],[Attendance_Percentage]]*40%+StudentData[[#This Row],[Assignments_Completed]]*2+StudentData[[#This Row],[Class_Participation]]*2+StudentData[[#This Row],[Projects_Submitted]]*4</f>
        <v>65.263999999999996</v>
      </c>
      <c r="M732">
        <f>StudentData[[#This Row],[Academic_Score]]*60%+StudentData[[#This Row],[Engagement_Score]]*30%+MIN(StudentData[[#This Row],[Study_Hours_per_Week]],20)/20*100*10%</f>
        <v>50.929999999999993</v>
      </c>
      <c r="N732" s="3" t="str" cm="1">
        <f t="array" ref="N73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32" s="3" t="str">
        <f t="shared" si="22"/>
        <v>Medium Risk</v>
      </c>
      <c r="P732" s="3" t="str">
        <f t="shared" si="23"/>
        <v>18-20</v>
      </c>
    </row>
    <row r="733" spans="1:16">
      <c r="A733" t="s">
        <v>767</v>
      </c>
      <c r="B733">
        <v>18</v>
      </c>
      <c r="C733" t="s">
        <v>5</v>
      </c>
      <c r="D733">
        <v>52.41</v>
      </c>
      <c r="E733">
        <v>8</v>
      </c>
      <c r="F733">
        <v>4.97</v>
      </c>
      <c r="G733">
        <v>19.03</v>
      </c>
      <c r="H733">
        <v>53.33</v>
      </c>
      <c r="I733">
        <v>5</v>
      </c>
      <c r="J733">
        <v>0</v>
      </c>
      <c r="K733">
        <f>(StudentData[[#This Row],[Midterm_Grade]]*40%)+(StudentData[[#This Row],[Final_Grade]]*60%)</f>
        <v>39.61</v>
      </c>
      <c r="L733">
        <f>StudentData[[#This Row],[Attendance_Percentage]]*40%+StudentData[[#This Row],[Assignments_Completed]]*2+StudentData[[#This Row],[Class_Participation]]*2+StudentData[[#This Row],[Projects_Submitted]]*4</f>
        <v>46.903999999999996</v>
      </c>
      <c r="M733">
        <f>StudentData[[#This Row],[Academic_Score]]*60%+StudentData[[#This Row],[Engagement_Score]]*30%+MIN(StudentData[[#This Row],[Study_Hours_per_Week]],20)/20*100*10%</f>
        <v>40.337199999999996</v>
      </c>
      <c r="N733" s="3" t="str" cm="1">
        <f t="array" ref="N73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33" s="3" t="str">
        <f t="shared" si="22"/>
        <v>High Risk</v>
      </c>
      <c r="P733" s="3" t="str">
        <f t="shared" si="23"/>
        <v>18-20</v>
      </c>
    </row>
    <row r="734" spans="1:16">
      <c r="A734" t="s">
        <v>768</v>
      </c>
      <c r="B734">
        <v>18</v>
      </c>
      <c r="C734" t="s">
        <v>5</v>
      </c>
      <c r="D734">
        <v>95.14</v>
      </c>
      <c r="E734">
        <v>2</v>
      </c>
      <c r="F734">
        <v>9.17</v>
      </c>
      <c r="G734">
        <v>91.72</v>
      </c>
      <c r="H734">
        <v>99.6</v>
      </c>
      <c r="I734">
        <v>9</v>
      </c>
      <c r="J734">
        <v>0</v>
      </c>
      <c r="K734">
        <f>(StudentData[[#This Row],[Midterm_Grade]]*40%)+(StudentData[[#This Row],[Final_Grade]]*60%)</f>
        <v>96.447999999999993</v>
      </c>
      <c r="L734">
        <f>StudentData[[#This Row],[Attendance_Percentage]]*40%+StudentData[[#This Row],[Assignments_Completed]]*2+StudentData[[#This Row],[Class_Participation]]*2+StudentData[[#This Row],[Projects_Submitted]]*4</f>
        <v>60.396000000000001</v>
      </c>
      <c r="M734">
        <f>StudentData[[#This Row],[Academic_Score]]*60%+StudentData[[#This Row],[Engagement_Score]]*30%+MIN(StudentData[[#This Row],[Study_Hours_per_Week]],20)/20*100*10%</f>
        <v>80.487599999999986</v>
      </c>
      <c r="N734" s="3" t="str" cm="1">
        <f t="array" ref="N734">_xlfn.IFS(StudentData[[#This Row],[Success_Score]]&gt;=85,"Exceptional",StudentData[[#This Row],[Success_Score]]&gt;=70,"Strong",StudentData[[#This Row],[Success_Score]]&gt;=55,"Developing",TRUE,"Needs Improvement")</f>
        <v>Strong</v>
      </c>
      <c r="O734" s="3" t="str">
        <f t="shared" si="22"/>
        <v>Low Risk</v>
      </c>
      <c r="P734" s="3" t="str">
        <f t="shared" si="23"/>
        <v>18-20</v>
      </c>
    </row>
    <row r="735" spans="1:16">
      <c r="A735" t="s">
        <v>769</v>
      </c>
      <c r="B735">
        <v>25</v>
      </c>
      <c r="C735" t="s">
        <v>5</v>
      </c>
      <c r="D735">
        <v>92.61</v>
      </c>
      <c r="E735">
        <v>5</v>
      </c>
      <c r="F735">
        <v>7.76</v>
      </c>
      <c r="G735">
        <v>55.36</v>
      </c>
      <c r="H735">
        <v>80.05</v>
      </c>
      <c r="I735">
        <v>4</v>
      </c>
      <c r="J735">
        <v>2</v>
      </c>
      <c r="K735">
        <f>(StudentData[[#This Row],[Midterm_Grade]]*40%)+(StudentData[[#This Row],[Final_Grade]]*60%)</f>
        <v>70.173999999999992</v>
      </c>
      <c r="L735">
        <f>StudentData[[#This Row],[Attendance_Percentage]]*40%+StudentData[[#This Row],[Assignments_Completed]]*2+StudentData[[#This Row],[Class_Participation]]*2+StudentData[[#This Row],[Projects_Submitted]]*4</f>
        <v>70.564000000000007</v>
      </c>
      <c r="M735">
        <f>StudentData[[#This Row],[Academic_Score]]*60%+StudentData[[#This Row],[Engagement_Score]]*30%+MIN(StudentData[[#This Row],[Study_Hours_per_Week]],20)/20*100*10%</f>
        <v>65.273599999999988</v>
      </c>
      <c r="N735" s="3" t="str" cm="1">
        <f t="array" ref="N735">_xlfn.IFS(StudentData[[#This Row],[Success_Score]]&gt;=85,"Exceptional",StudentData[[#This Row],[Success_Score]]&gt;=70,"Strong",StudentData[[#This Row],[Success_Score]]&gt;=55,"Developing",TRUE,"Needs Improvement")</f>
        <v>Developing</v>
      </c>
      <c r="O735" s="3" t="str">
        <f t="shared" si="22"/>
        <v>Low Risk</v>
      </c>
      <c r="P735" s="3" t="str">
        <f t="shared" si="23"/>
        <v>24-25</v>
      </c>
    </row>
    <row r="736" spans="1:16">
      <c r="A736" t="s">
        <v>770</v>
      </c>
      <c r="B736">
        <v>19</v>
      </c>
      <c r="C736" t="s">
        <v>4</v>
      </c>
      <c r="D736">
        <v>83.39</v>
      </c>
      <c r="E736">
        <v>4</v>
      </c>
      <c r="F736">
        <v>1.31</v>
      </c>
      <c r="G736">
        <v>29.92</v>
      </c>
      <c r="H736">
        <v>84.56</v>
      </c>
      <c r="I736">
        <v>17</v>
      </c>
      <c r="J736">
        <v>5</v>
      </c>
      <c r="K736">
        <f>(StudentData[[#This Row],[Midterm_Grade]]*40%)+(StudentData[[#This Row],[Final_Grade]]*60%)</f>
        <v>62.704000000000001</v>
      </c>
      <c r="L736">
        <f>StudentData[[#This Row],[Attendance_Percentage]]*40%+StudentData[[#This Row],[Assignments_Completed]]*2+StudentData[[#This Row],[Class_Participation]]*2+StudentData[[#This Row],[Projects_Submitted]]*4</f>
        <v>63.975999999999999</v>
      </c>
      <c r="M736">
        <f>StudentData[[#This Row],[Academic_Score]]*60%+StudentData[[#This Row],[Engagement_Score]]*30%+MIN(StudentData[[#This Row],[Study_Hours_per_Week]],20)/20*100*10%</f>
        <v>65.315200000000004</v>
      </c>
      <c r="N736" s="3" t="str" cm="1">
        <f t="array" ref="N736">_xlfn.IFS(StudentData[[#This Row],[Success_Score]]&gt;=85,"Exceptional",StudentData[[#This Row],[Success_Score]]&gt;=70,"Strong",StudentData[[#This Row],[Success_Score]]&gt;=55,"Developing",TRUE,"Needs Improvement")</f>
        <v>Developing</v>
      </c>
      <c r="O736" s="3" t="str">
        <f t="shared" si="22"/>
        <v>Low Risk</v>
      </c>
      <c r="P736" s="3" t="str">
        <f t="shared" si="23"/>
        <v>18-20</v>
      </c>
    </row>
    <row r="737" spans="1:16">
      <c r="A737" t="s">
        <v>771</v>
      </c>
      <c r="B737">
        <v>20</v>
      </c>
      <c r="C737" t="s">
        <v>5</v>
      </c>
      <c r="D737">
        <v>79.66</v>
      </c>
      <c r="E737">
        <v>10</v>
      </c>
      <c r="F737">
        <v>5.65</v>
      </c>
      <c r="G737">
        <v>43.09</v>
      </c>
      <c r="H737">
        <v>63.53</v>
      </c>
      <c r="I737">
        <v>9</v>
      </c>
      <c r="J737">
        <v>3</v>
      </c>
      <c r="K737">
        <f>(StudentData[[#This Row],[Midterm_Grade]]*40%)+(StudentData[[#This Row],[Final_Grade]]*60%)</f>
        <v>55.353999999999999</v>
      </c>
      <c r="L737">
        <f>StudentData[[#This Row],[Attendance_Percentage]]*40%+StudentData[[#This Row],[Assignments_Completed]]*2+StudentData[[#This Row],[Class_Participation]]*2+StudentData[[#This Row],[Projects_Submitted]]*4</f>
        <v>75.164000000000001</v>
      </c>
      <c r="M737">
        <f>StudentData[[#This Row],[Academic_Score]]*60%+StudentData[[#This Row],[Engagement_Score]]*30%+MIN(StudentData[[#This Row],[Study_Hours_per_Week]],20)/20*100*10%</f>
        <v>60.261599999999994</v>
      </c>
      <c r="N737" s="3" t="str" cm="1">
        <f t="array" ref="N737">_xlfn.IFS(StudentData[[#This Row],[Success_Score]]&gt;=85,"Exceptional",StudentData[[#This Row],[Success_Score]]&gt;=70,"Strong",StudentData[[#This Row],[Success_Score]]&gt;=55,"Developing",TRUE,"Needs Improvement")</f>
        <v>Developing</v>
      </c>
      <c r="O737" s="3" t="str">
        <f t="shared" si="22"/>
        <v>Medium Risk</v>
      </c>
      <c r="P737" s="3" t="str">
        <f t="shared" si="23"/>
        <v>18-20</v>
      </c>
    </row>
    <row r="738" spans="1:16">
      <c r="A738" t="s">
        <v>772</v>
      </c>
      <c r="B738">
        <v>21</v>
      </c>
      <c r="C738" t="s">
        <v>4</v>
      </c>
      <c r="D738">
        <v>94.62</v>
      </c>
      <c r="E738">
        <v>1</v>
      </c>
      <c r="F738">
        <v>4.42</v>
      </c>
      <c r="G738">
        <v>31.22</v>
      </c>
      <c r="H738">
        <v>4.16</v>
      </c>
      <c r="I738">
        <v>9</v>
      </c>
      <c r="J738">
        <v>0</v>
      </c>
      <c r="K738">
        <f>(StudentData[[#This Row],[Midterm_Grade]]*40%)+(StudentData[[#This Row],[Final_Grade]]*60%)</f>
        <v>14.984</v>
      </c>
      <c r="L738">
        <f>StudentData[[#This Row],[Attendance_Percentage]]*40%+StudentData[[#This Row],[Assignments_Completed]]*2+StudentData[[#This Row],[Class_Participation]]*2+StudentData[[#This Row],[Projects_Submitted]]*4</f>
        <v>48.688000000000002</v>
      </c>
      <c r="M738">
        <f>StudentData[[#This Row],[Academic_Score]]*60%+StudentData[[#This Row],[Engagement_Score]]*30%+MIN(StudentData[[#This Row],[Study_Hours_per_Week]],20)/20*100*10%</f>
        <v>28.096800000000002</v>
      </c>
      <c r="N738" s="3" t="str" cm="1">
        <f t="array" ref="N73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38" s="3" t="str">
        <f t="shared" si="22"/>
        <v>Medium Risk</v>
      </c>
      <c r="P738" s="3" t="str">
        <f t="shared" si="23"/>
        <v>21-23</v>
      </c>
    </row>
    <row r="739" spans="1:16">
      <c r="A739" t="s">
        <v>773</v>
      </c>
      <c r="B739">
        <v>22</v>
      </c>
      <c r="C739" t="s">
        <v>4</v>
      </c>
      <c r="D739">
        <v>59.27</v>
      </c>
      <c r="E739">
        <v>6</v>
      </c>
      <c r="F739">
        <v>7.97</v>
      </c>
      <c r="G739">
        <v>72.510000000000005</v>
      </c>
      <c r="H739">
        <v>20.68</v>
      </c>
      <c r="I739">
        <v>6</v>
      </c>
      <c r="J739">
        <v>4</v>
      </c>
      <c r="K739">
        <f>(StudentData[[#This Row],[Midterm_Grade]]*40%)+(StudentData[[#This Row],[Final_Grade]]*60%)</f>
        <v>41.412000000000006</v>
      </c>
      <c r="L739">
        <f>StudentData[[#This Row],[Attendance_Percentage]]*40%+StudentData[[#This Row],[Assignments_Completed]]*2+StudentData[[#This Row],[Class_Participation]]*2+StudentData[[#This Row],[Projects_Submitted]]*4</f>
        <v>67.647999999999996</v>
      </c>
      <c r="M739">
        <f>StudentData[[#This Row],[Academic_Score]]*60%+StudentData[[#This Row],[Engagement_Score]]*30%+MIN(StudentData[[#This Row],[Study_Hours_per_Week]],20)/20*100*10%</f>
        <v>48.141600000000004</v>
      </c>
      <c r="N739" s="3" t="str" cm="1">
        <f t="array" ref="N73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39" s="3" t="str">
        <f t="shared" si="22"/>
        <v>High Risk</v>
      </c>
      <c r="P739" s="3" t="str">
        <f t="shared" si="23"/>
        <v>21-23</v>
      </c>
    </row>
    <row r="740" spans="1:16">
      <c r="A740" t="s">
        <v>774</v>
      </c>
      <c r="B740">
        <v>22</v>
      </c>
      <c r="C740" t="s">
        <v>6</v>
      </c>
      <c r="D740">
        <v>53.95</v>
      </c>
      <c r="E740">
        <v>3</v>
      </c>
      <c r="F740">
        <v>7.24</v>
      </c>
      <c r="G740">
        <v>79.63</v>
      </c>
      <c r="H740">
        <v>92.51</v>
      </c>
      <c r="I740">
        <v>17</v>
      </c>
      <c r="J740">
        <v>5</v>
      </c>
      <c r="K740">
        <f>(StudentData[[#This Row],[Midterm_Grade]]*40%)+(StudentData[[#This Row],[Final_Grade]]*60%)</f>
        <v>87.358000000000004</v>
      </c>
      <c r="L740">
        <f>StudentData[[#This Row],[Attendance_Percentage]]*40%+StudentData[[#This Row],[Assignments_Completed]]*2+StudentData[[#This Row],[Class_Participation]]*2+StudentData[[#This Row],[Projects_Submitted]]*4</f>
        <v>62.06</v>
      </c>
      <c r="M740">
        <f>StudentData[[#This Row],[Academic_Score]]*60%+StudentData[[#This Row],[Engagement_Score]]*30%+MIN(StudentData[[#This Row],[Study_Hours_per_Week]],20)/20*100*10%</f>
        <v>79.532799999999995</v>
      </c>
      <c r="N740" s="3" t="str" cm="1">
        <f t="array" ref="N740">_xlfn.IFS(StudentData[[#This Row],[Success_Score]]&gt;=85,"Exceptional",StudentData[[#This Row],[Success_Score]]&gt;=70,"Strong",StudentData[[#This Row],[Success_Score]]&gt;=55,"Developing",TRUE,"Needs Improvement")</f>
        <v>Strong</v>
      </c>
      <c r="O740" s="3" t="str">
        <f t="shared" si="22"/>
        <v>Medium Risk</v>
      </c>
      <c r="P740" s="3" t="str">
        <f t="shared" si="23"/>
        <v>21-23</v>
      </c>
    </row>
    <row r="741" spans="1:16">
      <c r="A741" t="s">
        <v>775</v>
      </c>
      <c r="B741">
        <v>21</v>
      </c>
      <c r="C741" t="s">
        <v>5</v>
      </c>
      <c r="D741">
        <v>61.98</v>
      </c>
      <c r="E741">
        <v>0</v>
      </c>
      <c r="F741">
        <v>6.9</v>
      </c>
      <c r="G741">
        <v>83.29</v>
      </c>
      <c r="H741">
        <v>36.61</v>
      </c>
      <c r="I741">
        <v>0</v>
      </c>
      <c r="J741">
        <v>0</v>
      </c>
      <c r="K741">
        <f>(StudentData[[#This Row],[Midterm_Grade]]*40%)+(StudentData[[#This Row],[Final_Grade]]*60%)</f>
        <v>55.281999999999996</v>
      </c>
      <c r="L741">
        <f>StudentData[[#This Row],[Attendance_Percentage]]*40%+StudentData[[#This Row],[Assignments_Completed]]*2+StudentData[[#This Row],[Class_Participation]]*2+StudentData[[#This Row],[Projects_Submitted]]*4</f>
        <v>38.591999999999999</v>
      </c>
      <c r="M741">
        <f>StudentData[[#This Row],[Academic_Score]]*60%+StudentData[[#This Row],[Engagement_Score]]*30%+MIN(StudentData[[#This Row],[Study_Hours_per_Week]],20)/20*100*10%</f>
        <v>44.746799999999993</v>
      </c>
      <c r="N741" s="3" t="str" cm="1">
        <f t="array" ref="N74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41" s="3" t="str">
        <f t="shared" si="22"/>
        <v>Medium Risk</v>
      </c>
      <c r="P741" s="3" t="str">
        <f t="shared" si="23"/>
        <v>21-23</v>
      </c>
    </row>
    <row r="742" spans="1:16">
      <c r="A742" t="s">
        <v>776</v>
      </c>
      <c r="B742">
        <v>24</v>
      </c>
      <c r="C742" t="s">
        <v>4</v>
      </c>
      <c r="D742">
        <v>89.73</v>
      </c>
      <c r="E742">
        <v>3</v>
      </c>
      <c r="F742">
        <v>3.41</v>
      </c>
      <c r="G742">
        <v>98.58</v>
      </c>
      <c r="H742">
        <v>10.36</v>
      </c>
      <c r="I742">
        <v>6</v>
      </c>
      <c r="J742">
        <v>3</v>
      </c>
      <c r="K742">
        <f>(StudentData[[#This Row],[Midterm_Grade]]*40%)+(StudentData[[#This Row],[Final_Grade]]*60%)</f>
        <v>45.648000000000003</v>
      </c>
      <c r="L742">
        <f>StudentData[[#This Row],[Attendance_Percentage]]*40%+StudentData[[#This Row],[Assignments_Completed]]*2+StudentData[[#This Row],[Class_Participation]]*2+StudentData[[#This Row],[Projects_Submitted]]*4</f>
        <v>60.712000000000003</v>
      </c>
      <c r="M742">
        <f>StudentData[[#This Row],[Academic_Score]]*60%+StudentData[[#This Row],[Engagement_Score]]*30%+MIN(StudentData[[#This Row],[Study_Hours_per_Week]],20)/20*100*10%</f>
        <v>48.602400000000003</v>
      </c>
      <c r="N742" s="3" t="str" cm="1">
        <f t="array" ref="N74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42" s="3" t="str">
        <f t="shared" si="22"/>
        <v>Medium Risk</v>
      </c>
      <c r="P742" s="3" t="str">
        <f t="shared" si="23"/>
        <v>24-25</v>
      </c>
    </row>
    <row r="743" spans="1:16">
      <c r="A743" t="s">
        <v>777</v>
      </c>
      <c r="B743">
        <v>23</v>
      </c>
      <c r="C743" t="s">
        <v>4</v>
      </c>
      <c r="D743">
        <v>51.73</v>
      </c>
      <c r="E743">
        <v>5</v>
      </c>
      <c r="F743">
        <v>8.0500000000000007</v>
      </c>
      <c r="G743">
        <v>79.13</v>
      </c>
      <c r="H743">
        <v>70.239999999999995</v>
      </c>
      <c r="I743">
        <v>0</v>
      </c>
      <c r="J743">
        <v>2</v>
      </c>
      <c r="K743">
        <f>(StudentData[[#This Row],[Midterm_Grade]]*40%)+(StudentData[[#This Row],[Final_Grade]]*60%)</f>
        <v>73.795999999999992</v>
      </c>
      <c r="L743">
        <f>StudentData[[#This Row],[Attendance_Percentage]]*40%+StudentData[[#This Row],[Assignments_Completed]]*2+StudentData[[#This Row],[Class_Participation]]*2+StudentData[[#This Row],[Projects_Submitted]]*4</f>
        <v>54.792000000000002</v>
      </c>
      <c r="M743">
        <f>StudentData[[#This Row],[Academic_Score]]*60%+StudentData[[#This Row],[Engagement_Score]]*30%+MIN(StudentData[[#This Row],[Study_Hours_per_Week]],20)/20*100*10%</f>
        <v>60.715199999999996</v>
      </c>
      <c r="N743" s="3" t="str" cm="1">
        <f t="array" ref="N743">_xlfn.IFS(StudentData[[#This Row],[Success_Score]]&gt;=85,"Exceptional",StudentData[[#This Row],[Success_Score]]&gt;=70,"Strong",StudentData[[#This Row],[Success_Score]]&gt;=55,"Developing",TRUE,"Needs Improvement")</f>
        <v>Developing</v>
      </c>
      <c r="O743" s="3" t="str">
        <f t="shared" si="22"/>
        <v>Medium Risk</v>
      </c>
      <c r="P743" s="3" t="str">
        <f t="shared" si="23"/>
        <v>21-23</v>
      </c>
    </row>
    <row r="744" spans="1:16">
      <c r="A744" t="s">
        <v>778</v>
      </c>
      <c r="B744">
        <v>19</v>
      </c>
      <c r="C744" t="s">
        <v>4</v>
      </c>
      <c r="D744">
        <v>79.14</v>
      </c>
      <c r="E744">
        <v>6</v>
      </c>
      <c r="F744">
        <v>0.52</v>
      </c>
      <c r="G744">
        <v>60.14</v>
      </c>
      <c r="H744">
        <v>29.95</v>
      </c>
      <c r="I744">
        <v>14</v>
      </c>
      <c r="J744">
        <v>5</v>
      </c>
      <c r="K744">
        <f>(StudentData[[#This Row],[Midterm_Grade]]*40%)+(StudentData[[#This Row],[Final_Grade]]*60%)</f>
        <v>42.025999999999996</v>
      </c>
      <c r="L744">
        <f>StudentData[[#This Row],[Attendance_Percentage]]*40%+StudentData[[#This Row],[Assignments_Completed]]*2+StudentData[[#This Row],[Class_Participation]]*2+StudentData[[#This Row],[Projects_Submitted]]*4</f>
        <v>64.695999999999998</v>
      </c>
      <c r="M744">
        <f>StudentData[[#This Row],[Academic_Score]]*60%+StudentData[[#This Row],[Engagement_Score]]*30%+MIN(StudentData[[#This Row],[Study_Hours_per_Week]],20)/20*100*10%</f>
        <v>51.624399999999994</v>
      </c>
      <c r="N744" s="3" t="str" cm="1">
        <f t="array" ref="N74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44" s="3" t="str">
        <f t="shared" si="22"/>
        <v>Medium Risk</v>
      </c>
      <c r="P744" s="3" t="str">
        <f t="shared" si="23"/>
        <v>18-20</v>
      </c>
    </row>
    <row r="745" spans="1:16">
      <c r="A745" t="s">
        <v>779</v>
      </c>
      <c r="B745">
        <v>22</v>
      </c>
      <c r="C745" t="s">
        <v>4</v>
      </c>
      <c r="D745">
        <v>99.77</v>
      </c>
      <c r="E745">
        <v>6</v>
      </c>
      <c r="F745">
        <v>1.6</v>
      </c>
      <c r="G745">
        <v>33.92</v>
      </c>
      <c r="H745">
        <v>26.89</v>
      </c>
      <c r="I745">
        <v>3</v>
      </c>
      <c r="J745">
        <v>0</v>
      </c>
      <c r="K745">
        <f>(StudentData[[#This Row],[Midterm_Grade]]*40%)+(StudentData[[#This Row],[Final_Grade]]*60%)</f>
        <v>29.702000000000002</v>
      </c>
      <c r="L745">
        <f>StudentData[[#This Row],[Attendance_Percentage]]*40%+StudentData[[#This Row],[Assignments_Completed]]*2+StudentData[[#This Row],[Class_Participation]]*2+StudentData[[#This Row],[Projects_Submitted]]*4</f>
        <v>55.108000000000004</v>
      </c>
      <c r="M745">
        <f>StudentData[[#This Row],[Academic_Score]]*60%+StudentData[[#This Row],[Engagement_Score]]*30%+MIN(StudentData[[#This Row],[Study_Hours_per_Week]],20)/20*100*10%</f>
        <v>35.8536</v>
      </c>
      <c r="N745" s="3" t="str" cm="1">
        <f t="array" ref="N74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45" s="3" t="str">
        <f t="shared" si="22"/>
        <v>Medium Risk</v>
      </c>
      <c r="P745" s="3" t="str">
        <f t="shared" si="23"/>
        <v>21-23</v>
      </c>
    </row>
    <row r="746" spans="1:16">
      <c r="A746" t="s">
        <v>780</v>
      </c>
      <c r="B746">
        <v>20</v>
      </c>
      <c r="C746" t="s">
        <v>4</v>
      </c>
      <c r="D746">
        <v>92.78</v>
      </c>
      <c r="E746">
        <v>6</v>
      </c>
      <c r="F746">
        <v>3.36</v>
      </c>
      <c r="G746">
        <v>54.46</v>
      </c>
      <c r="H746">
        <v>99.8</v>
      </c>
      <c r="I746">
        <v>19</v>
      </c>
      <c r="J746">
        <v>0</v>
      </c>
      <c r="K746">
        <f>(StudentData[[#This Row],[Midterm_Grade]]*40%)+(StudentData[[#This Row],[Final_Grade]]*60%)</f>
        <v>81.664000000000001</v>
      </c>
      <c r="L746">
        <f>StudentData[[#This Row],[Attendance_Percentage]]*40%+StudentData[[#This Row],[Assignments_Completed]]*2+StudentData[[#This Row],[Class_Participation]]*2+StudentData[[#This Row],[Projects_Submitted]]*4</f>
        <v>55.832000000000001</v>
      </c>
      <c r="M746">
        <f>StudentData[[#This Row],[Academic_Score]]*60%+StudentData[[#This Row],[Engagement_Score]]*30%+MIN(StudentData[[#This Row],[Study_Hours_per_Week]],20)/20*100*10%</f>
        <v>75.24799999999999</v>
      </c>
      <c r="N746" s="3" t="str" cm="1">
        <f t="array" ref="N746">_xlfn.IFS(StudentData[[#This Row],[Success_Score]]&gt;=85,"Exceptional",StudentData[[#This Row],[Success_Score]]&gt;=70,"Strong",StudentData[[#This Row],[Success_Score]]&gt;=55,"Developing",TRUE,"Needs Improvement")</f>
        <v>Strong</v>
      </c>
      <c r="O746" s="3" t="str">
        <f t="shared" si="22"/>
        <v>Low Risk</v>
      </c>
      <c r="P746" s="3" t="str">
        <f t="shared" si="23"/>
        <v>18-20</v>
      </c>
    </row>
    <row r="747" spans="1:16">
      <c r="A747" t="s">
        <v>781</v>
      </c>
      <c r="B747">
        <v>19</v>
      </c>
      <c r="C747" t="s">
        <v>4</v>
      </c>
      <c r="D747">
        <v>76.069999999999993</v>
      </c>
      <c r="E747">
        <v>2</v>
      </c>
      <c r="F747">
        <v>0.77</v>
      </c>
      <c r="G747">
        <v>4.1100000000000003</v>
      </c>
      <c r="H747">
        <v>85.81</v>
      </c>
      <c r="I747">
        <v>9</v>
      </c>
      <c r="J747">
        <v>4</v>
      </c>
      <c r="K747">
        <f>(StudentData[[#This Row],[Midterm_Grade]]*40%)+(StudentData[[#This Row],[Final_Grade]]*60%)</f>
        <v>53.129999999999995</v>
      </c>
      <c r="L747">
        <f>StudentData[[#This Row],[Attendance_Percentage]]*40%+StudentData[[#This Row],[Assignments_Completed]]*2+StudentData[[#This Row],[Class_Participation]]*2+StudentData[[#This Row],[Projects_Submitted]]*4</f>
        <v>51.967999999999996</v>
      </c>
      <c r="M747">
        <f>StudentData[[#This Row],[Academic_Score]]*60%+StudentData[[#This Row],[Engagement_Score]]*30%+MIN(StudentData[[#This Row],[Study_Hours_per_Week]],20)/20*100*10%</f>
        <v>51.968399999999995</v>
      </c>
      <c r="N747" s="3" t="str" cm="1">
        <f t="array" ref="N74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47" s="3" t="str">
        <f t="shared" si="22"/>
        <v>Medium Risk</v>
      </c>
      <c r="P747" s="3" t="str">
        <f t="shared" si="23"/>
        <v>18-20</v>
      </c>
    </row>
    <row r="748" spans="1:16">
      <c r="A748" t="s">
        <v>782</v>
      </c>
      <c r="B748">
        <v>20</v>
      </c>
      <c r="C748" t="s">
        <v>5</v>
      </c>
      <c r="D748">
        <v>53.18</v>
      </c>
      <c r="E748">
        <v>5</v>
      </c>
      <c r="F748">
        <v>2.35</v>
      </c>
      <c r="G748">
        <v>74.48</v>
      </c>
      <c r="H748">
        <v>40.79</v>
      </c>
      <c r="I748">
        <v>8</v>
      </c>
      <c r="J748">
        <v>4</v>
      </c>
      <c r="K748">
        <f>(StudentData[[#This Row],[Midterm_Grade]]*40%)+(StudentData[[#This Row],[Final_Grade]]*60%)</f>
        <v>54.266000000000005</v>
      </c>
      <c r="L748">
        <f>StudentData[[#This Row],[Attendance_Percentage]]*40%+StudentData[[#This Row],[Assignments_Completed]]*2+StudentData[[#This Row],[Class_Participation]]*2+StudentData[[#This Row],[Projects_Submitted]]*4</f>
        <v>51.972000000000001</v>
      </c>
      <c r="M748">
        <f>StudentData[[#This Row],[Academic_Score]]*60%+StudentData[[#This Row],[Engagement_Score]]*30%+MIN(StudentData[[#This Row],[Study_Hours_per_Week]],20)/20*100*10%</f>
        <v>52.151200000000003</v>
      </c>
      <c r="N748" s="3" t="str" cm="1">
        <f t="array" ref="N74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48" s="3" t="str">
        <f t="shared" si="22"/>
        <v>Medium Risk</v>
      </c>
      <c r="P748" s="3" t="str">
        <f t="shared" si="23"/>
        <v>18-20</v>
      </c>
    </row>
    <row r="749" spans="1:16">
      <c r="A749" t="s">
        <v>783</v>
      </c>
      <c r="B749">
        <v>24</v>
      </c>
      <c r="C749" t="s">
        <v>5</v>
      </c>
      <c r="D749">
        <v>91.57</v>
      </c>
      <c r="E749">
        <v>7</v>
      </c>
      <c r="F749">
        <v>8.3000000000000007</v>
      </c>
      <c r="G749">
        <v>44.6</v>
      </c>
      <c r="H749">
        <v>98.03</v>
      </c>
      <c r="I749">
        <v>1</v>
      </c>
      <c r="J749">
        <v>5</v>
      </c>
      <c r="K749">
        <f>(StudentData[[#This Row],[Midterm_Grade]]*40%)+(StudentData[[#This Row],[Final_Grade]]*60%)</f>
        <v>76.658000000000001</v>
      </c>
      <c r="L749">
        <f>StudentData[[#This Row],[Attendance_Percentage]]*40%+StudentData[[#This Row],[Assignments_Completed]]*2+StudentData[[#This Row],[Class_Participation]]*2+StudentData[[#This Row],[Projects_Submitted]]*4</f>
        <v>87.228000000000009</v>
      </c>
      <c r="M749">
        <f>StudentData[[#This Row],[Academic_Score]]*60%+StudentData[[#This Row],[Engagement_Score]]*30%+MIN(StudentData[[#This Row],[Study_Hours_per_Week]],20)/20*100*10%</f>
        <v>72.663200000000003</v>
      </c>
      <c r="N749" s="3" t="str" cm="1">
        <f t="array" ref="N749">_xlfn.IFS(StudentData[[#This Row],[Success_Score]]&gt;=85,"Exceptional",StudentData[[#This Row],[Success_Score]]&gt;=70,"Strong",StudentData[[#This Row],[Success_Score]]&gt;=55,"Developing",TRUE,"Needs Improvement")</f>
        <v>Strong</v>
      </c>
      <c r="O749" s="3" t="str">
        <f t="shared" si="22"/>
        <v>Low Risk</v>
      </c>
      <c r="P749" s="3" t="str">
        <f t="shared" si="23"/>
        <v>24-25</v>
      </c>
    </row>
    <row r="750" spans="1:16">
      <c r="A750" t="s">
        <v>784</v>
      </c>
      <c r="B750">
        <v>18</v>
      </c>
      <c r="C750" t="s">
        <v>6</v>
      </c>
      <c r="D750">
        <v>79.95</v>
      </c>
      <c r="E750">
        <v>3</v>
      </c>
      <c r="F750">
        <v>9.48</v>
      </c>
      <c r="G750">
        <v>2</v>
      </c>
      <c r="H750">
        <v>65.010000000000005</v>
      </c>
      <c r="I750">
        <v>13</v>
      </c>
      <c r="J750">
        <v>0</v>
      </c>
      <c r="K750">
        <f>(StudentData[[#This Row],[Midterm_Grade]]*40%)+(StudentData[[#This Row],[Final_Grade]]*60%)</f>
        <v>39.805999999999997</v>
      </c>
      <c r="L750">
        <f>StudentData[[#This Row],[Attendance_Percentage]]*40%+StudentData[[#This Row],[Assignments_Completed]]*2+StudentData[[#This Row],[Class_Participation]]*2+StudentData[[#This Row],[Projects_Submitted]]*4</f>
        <v>56.940000000000005</v>
      </c>
      <c r="M750">
        <f>StudentData[[#This Row],[Academic_Score]]*60%+StudentData[[#This Row],[Engagement_Score]]*30%+MIN(StudentData[[#This Row],[Study_Hours_per_Week]],20)/20*100*10%</f>
        <v>47.465599999999995</v>
      </c>
      <c r="N750" s="3" t="str" cm="1">
        <f t="array" ref="N75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50" s="3" t="str">
        <f t="shared" si="22"/>
        <v>Medium Risk</v>
      </c>
      <c r="P750" s="3" t="str">
        <f t="shared" si="23"/>
        <v>18-20</v>
      </c>
    </row>
    <row r="751" spans="1:16">
      <c r="A751" t="s">
        <v>785</v>
      </c>
      <c r="B751">
        <v>19</v>
      </c>
      <c r="C751" t="s">
        <v>4</v>
      </c>
      <c r="D751">
        <v>55.75</v>
      </c>
      <c r="E751">
        <v>7</v>
      </c>
      <c r="F751">
        <v>3.05</v>
      </c>
      <c r="G751">
        <v>6.25</v>
      </c>
      <c r="H751">
        <v>74.2</v>
      </c>
      <c r="I751">
        <v>15</v>
      </c>
      <c r="J751">
        <v>5</v>
      </c>
      <c r="K751">
        <f>(StudentData[[#This Row],[Midterm_Grade]]*40%)+(StudentData[[#This Row],[Final_Grade]]*60%)</f>
        <v>47.02</v>
      </c>
      <c r="L751">
        <f>StudentData[[#This Row],[Attendance_Percentage]]*40%+StudentData[[#This Row],[Assignments_Completed]]*2+StudentData[[#This Row],[Class_Participation]]*2+StudentData[[#This Row],[Projects_Submitted]]*4</f>
        <v>62.4</v>
      </c>
      <c r="M751">
        <f>StudentData[[#This Row],[Academic_Score]]*60%+StudentData[[#This Row],[Engagement_Score]]*30%+MIN(StudentData[[#This Row],[Study_Hours_per_Week]],20)/20*100*10%</f>
        <v>54.432000000000002</v>
      </c>
      <c r="N751" s="3" t="str" cm="1">
        <f t="array" ref="N75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51" s="3" t="str">
        <f t="shared" si="22"/>
        <v>High Risk</v>
      </c>
      <c r="P751" s="3" t="str">
        <f t="shared" si="23"/>
        <v>18-20</v>
      </c>
    </row>
    <row r="752" spans="1:16">
      <c r="A752" t="s">
        <v>786</v>
      </c>
      <c r="B752">
        <v>25</v>
      </c>
      <c r="C752" t="s">
        <v>4</v>
      </c>
      <c r="D752">
        <v>54.69</v>
      </c>
      <c r="E752">
        <v>1</v>
      </c>
      <c r="F752">
        <v>2.65</v>
      </c>
      <c r="G752">
        <v>38.75</v>
      </c>
      <c r="H752">
        <v>3.15</v>
      </c>
      <c r="I752">
        <v>0</v>
      </c>
      <c r="J752">
        <v>0</v>
      </c>
      <c r="K752">
        <f>(StudentData[[#This Row],[Midterm_Grade]]*40%)+(StudentData[[#This Row],[Final_Grade]]*60%)</f>
        <v>17.39</v>
      </c>
      <c r="L752">
        <f>StudentData[[#This Row],[Attendance_Percentage]]*40%+StudentData[[#This Row],[Assignments_Completed]]*2+StudentData[[#This Row],[Class_Participation]]*2+StudentData[[#This Row],[Projects_Submitted]]*4</f>
        <v>29.176000000000002</v>
      </c>
      <c r="M752">
        <f>StudentData[[#This Row],[Academic_Score]]*60%+StudentData[[#This Row],[Engagement_Score]]*30%+MIN(StudentData[[#This Row],[Study_Hours_per_Week]],20)/20*100*10%</f>
        <v>19.186799999999998</v>
      </c>
      <c r="N752" s="3" t="str" cm="1">
        <f t="array" ref="N75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52" s="3" t="str">
        <f t="shared" si="22"/>
        <v>High Risk</v>
      </c>
      <c r="P752" s="3" t="str">
        <f t="shared" si="23"/>
        <v>24-25</v>
      </c>
    </row>
    <row r="753" spans="1:16">
      <c r="A753" t="s">
        <v>787</v>
      </c>
      <c r="B753">
        <v>22</v>
      </c>
      <c r="C753" t="s">
        <v>4</v>
      </c>
      <c r="D753">
        <v>95.48</v>
      </c>
      <c r="E753">
        <v>9</v>
      </c>
      <c r="F753">
        <v>2.8</v>
      </c>
      <c r="G753">
        <v>58.34</v>
      </c>
      <c r="H753">
        <v>12.16</v>
      </c>
      <c r="I753">
        <v>1</v>
      </c>
      <c r="J753">
        <v>4</v>
      </c>
      <c r="K753">
        <f>(StudentData[[#This Row],[Midterm_Grade]]*40%)+(StudentData[[#This Row],[Final_Grade]]*60%)</f>
        <v>30.632000000000001</v>
      </c>
      <c r="L753">
        <f>StudentData[[#This Row],[Attendance_Percentage]]*40%+StudentData[[#This Row],[Assignments_Completed]]*2+StudentData[[#This Row],[Class_Participation]]*2+StudentData[[#This Row],[Projects_Submitted]]*4</f>
        <v>77.792000000000002</v>
      </c>
      <c r="M753">
        <f>StudentData[[#This Row],[Academic_Score]]*60%+StudentData[[#This Row],[Engagement_Score]]*30%+MIN(StudentData[[#This Row],[Study_Hours_per_Week]],20)/20*100*10%</f>
        <v>42.216799999999999</v>
      </c>
      <c r="N753" s="3" t="str" cm="1">
        <f t="array" ref="N75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53" s="3" t="str">
        <f t="shared" si="22"/>
        <v>Medium Risk</v>
      </c>
      <c r="P753" s="3" t="str">
        <f t="shared" si="23"/>
        <v>21-23</v>
      </c>
    </row>
    <row r="754" spans="1:16">
      <c r="A754" t="s">
        <v>788</v>
      </c>
      <c r="B754">
        <v>19</v>
      </c>
      <c r="C754" t="s">
        <v>5</v>
      </c>
      <c r="D754">
        <v>83.46</v>
      </c>
      <c r="E754">
        <v>8</v>
      </c>
      <c r="F754">
        <v>2.78</v>
      </c>
      <c r="G754">
        <v>46.42</v>
      </c>
      <c r="H754">
        <v>63.31</v>
      </c>
      <c r="I754">
        <v>6</v>
      </c>
      <c r="J754">
        <v>3</v>
      </c>
      <c r="K754">
        <f>(StudentData[[#This Row],[Midterm_Grade]]*40%)+(StudentData[[#This Row],[Final_Grade]]*60%)</f>
        <v>56.554000000000002</v>
      </c>
      <c r="L754">
        <f>StudentData[[#This Row],[Attendance_Percentage]]*40%+StudentData[[#This Row],[Assignments_Completed]]*2+StudentData[[#This Row],[Class_Participation]]*2+StudentData[[#This Row],[Projects_Submitted]]*4</f>
        <v>66.944000000000003</v>
      </c>
      <c r="M754">
        <f>StudentData[[#This Row],[Academic_Score]]*60%+StudentData[[#This Row],[Engagement_Score]]*30%+MIN(StudentData[[#This Row],[Study_Hours_per_Week]],20)/20*100*10%</f>
        <v>57.015600000000006</v>
      </c>
      <c r="N754" s="3" t="str" cm="1">
        <f t="array" ref="N754">_xlfn.IFS(StudentData[[#This Row],[Success_Score]]&gt;=85,"Exceptional",StudentData[[#This Row],[Success_Score]]&gt;=70,"Strong",StudentData[[#This Row],[Success_Score]]&gt;=55,"Developing",TRUE,"Needs Improvement")</f>
        <v>Developing</v>
      </c>
      <c r="O754" s="3" t="str">
        <f t="shared" si="22"/>
        <v>Medium Risk</v>
      </c>
      <c r="P754" s="3" t="str">
        <f t="shared" si="23"/>
        <v>18-20</v>
      </c>
    </row>
    <row r="755" spans="1:16">
      <c r="A755" t="s">
        <v>789</v>
      </c>
      <c r="B755">
        <v>19</v>
      </c>
      <c r="C755" t="s">
        <v>5</v>
      </c>
      <c r="D755">
        <v>91.46</v>
      </c>
      <c r="E755">
        <v>8</v>
      </c>
      <c r="F755">
        <v>0.36</v>
      </c>
      <c r="G755">
        <v>61.92</v>
      </c>
      <c r="H755">
        <v>89.9</v>
      </c>
      <c r="I755">
        <v>9</v>
      </c>
      <c r="J755">
        <v>1</v>
      </c>
      <c r="K755">
        <f>(StudentData[[#This Row],[Midterm_Grade]]*40%)+(StudentData[[#This Row],[Final_Grade]]*60%)</f>
        <v>78.707999999999998</v>
      </c>
      <c r="L755">
        <f>StudentData[[#This Row],[Attendance_Percentage]]*40%+StudentData[[#This Row],[Assignments_Completed]]*2+StudentData[[#This Row],[Class_Participation]]*2+StudentData[[#This Row],[Projects_Submitted]]*4</f>
        <v>57.303999999999995</v>
      </c>
      <c r="M755">
        <f>StudentData[[#This Row],[Academic_Score]]*60%+StudentData[[#This Row],[Engagement_Score]]*30%+MIN(StudentData[[#This Row],[Study_Hours_per_Week]],20)/20*100*10%</f>
        <v>68.915999999999997</v>
      </c>
      <c r="N755" s="3" t="str" cm="1">
        <f t="array" ref="N755">_xlfn.IFS(StudentData[[#This Row],[Success_Score]]&gt;=85,"Exceptional",StudentData[[#This Row],[Success_Score]]&gt;=70,"Strong",StudentData[[#This Row],[Success_Score]]&gt;=55,"Developing",TRUE,"Needs Improvement")</f>
        <v>Developing</v>
      </c>
      <c r="O755" s="3" t="str">
        <f t="shared" si="22"/>
        <v>Low Risk</v>
      </c>
      <c r="P755" s="3" t="str">
        <f t="shared" si="23"/>
        <v>18-20</v>
      </c>
    </row>
    <row r="756" spans="1:16">
      <c r="A756" t="s">
        <v>790</v>
      </c>
      <c r="B756">
        <v>19</v>
      </c>
      <c r="C756" t="s">
        <v>4</v>
      </c>
      <c r="D756">
        <v>93.95</v>
      </c>
      <c r="E756">
        <v>7</v>
      </c>
      <c r="F756">
        <v>9.27</v>
      </c>
      <c r="G756">
        <v>48.03</v>
      </c>
      <c r="H756">
        <v>62.37</v>
      </c>
      <c r="I756">
        <v>19</v>
      </c>
      <c r="J756">
        <v>1</v>
      </c>
      <c r="K756">
        <f>(StudentData[[#This Row],[Midterm_Grade]]*40%)+(StudentData[[#This Row],[Final_Grade]]*60%)</f>
        <v>56.634</v>
      </c>
      <c r="L756">
        <f>StudentData[[#This Row],[Attendance_Percentage]]*40%+StudentData[[#This Row],[Assignments_Completed]]*2+StudentData[[#This Row],[Class_Participation]]*2+StudentData[[#This Row],[Projects_Submitted]]*4</f>
        <v>74.12</v>
      </c>
      <c r="M756">
        <f>StudentData[[#This Row],[Academic_Score]]*60%+StudentData[[#This Row],[Engagement_Score]]*30%+MIN(StudentData[[#This Row],[Study_Hours_per_Week]],20)/20*100*10%</f>
        <v>65.716399999999993</v>
      </c>
      <c r="N756" s="3" t="str" cm="1">
        <f t="array" ref="N756">_xlfn.IFS(StudentData[[#This Row],[Success_Score]]&gt;=85,"Exceptional",StudentData[[#This Row],[Success_Score]]&gt;=70,"Strong",StudentData[[#This Row],[Success_Score]]&gt;=55,"Developing",TRUE,"Needs Improvement")</f>
        <v>Developing</v>
      </c>
      <c r="O756" s="3" t="str">
        <f t="shared" si="22"/>
        <v>Medium Risk</v>
      </c>
      <c r="P756" s="3" t="str">
        <f t="shared" si="23"/>
        <v>18-20</v>
      </c>
    </row>
    <row r="757" spans="1:16">
      <c r="A757" t="s">
        <v>791</v>
      </c>
      <c r="B757">
        <v>23</v>
      </c>
      <c r="C757" t="s">
        <v>5</v>
      </c>
      <c r="D757">
        <v>78.59</v>
      </c>
      <c r="E757">
        <v>9</v>
      </c>
      <c r="F757">
        <v>2.14</v>
      </c>
      <c r="G757">
        <v>66.17</v>
      </c>
      <c r="H757">
        <v>13.4</v>
      </c>
      <c r="I757">
        <v>0</v>
      </c>
      <c r="J757">
        <v>0</v>
      </c>
      <c r="K757">
        <f>(StudentData[[#This Row],[Midterm_Grade]]*40%)+(StudentData[[#This Row],[Final_Grade]]*60%)</f>
        <v>34.508000000000003</v>
      </c>
      <c r="L757">
        <f>StudentData[[#This Row],[Attendance_Percentage]]*40%+StudentData[[#This Row],[Assignments_Completed]]*2+StudentData[[#This Row],[Class_Participation]]*2+StudentData[[#This Row],[Projects_Submitted]]*4</f>
        <v>53.716000000000008</v>
      </c>
      <c r="M757">
        <f>StudentData[[#This Row],[Academic_Score]]*60%+StudentData[[#This Row],[Engagement_Score]]*30%+MIN(StudentData[[#This Row],[Study_Hours_per_Week]],20)/20*100*10%</f>
        <v>36.819600000000008</v>
      </c>
      <c r="N757" s="3" t="str" cm="1">
        <f t="array" ref="N75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57" s="3" t="str">
        <f t="shared" si="22"/>
        <v>Medium Risk</v>
      </c>
      <c r="P757" s="3" t="str">
        <f t="shared" si="23"/>
        <v>21-23</v>
      </c>
    </row>
    <row r="758" spans="1:16">
      <c r="A758" t="s">
        <v>792</v>
      </c>
      <c r="B758">
        <v>19</v>
      </c>
      <c r="C758" t="s">
        <v>5</v>
      </c>
      <c r="D758">
        <v>75.87</v>
      </c>
      <c r="E758">
        <v>9</v>
      </c>
      <c r="F758">
        <v>4.2</v>
      </c>
      <c r="G758">
        <v>21.91</v>
      </c>
      <c r="H758">
        <v>11.58</v>
      </c>
      <c r="I758">
        <v>12</v>
      </c>
      <c r="J758">
        <v>4</v>
      </c>
      <c r="K758">
        <f>(StudentData[[#This Row],[Midterm_Grade]]*40%)+(StudentData[[#This Row],[Final_Grade]]*60%)</f>
        <v>15.712</v>
      </c>
      <c r="L758">
        <f>StudentData[[#This Row],[Attendance_Percentage]]*40%+StudentData[[#This Row],[Assignments_Completed]]*2+StudentData[[#This Row],[Class_Participation]]*2+StudentData[[#This Row],[Projects_Submitted]]*4</f>
        <v>72.74799999999999</v>
      </c>
      <c r="M758">
        <f>StudentData[[#This Row],[Academic_Score]]*60%+StudentData[[#This Row],[Engagement_Score]]*30%+MIN(StudentData[[#This Row],[Study_Hours_per_Week]],20)/20*100*10%</f>
        <v>37.251599999999996</v>
      </c>
      <c r="N758" s="3" t="str" cm="1">
        <f t="array" ref="N75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58" s="3" t="str">
        <f t="shared" si="22"/>
        <v>Medium Risk</v>
      </c>
      <c r="P758" s="3" t="str">
        <f t="shared" si="23"/>
        <v>18-20</v>
      </c>
    </row>
    <row r="759" spans="1:16">
      <c r="A759" t="s">
        <v>793</v>
      </c>
      <c r="B759">
        <v>20</v>
      </c>
      <c r="C759" t="s">
        <v>4</v>
      </c>
      <c r="D759">
        <v>71.52</v>
      </c>
      <c r="E759">
        <v>0</v>
      </c>
      <c r="F759">
        <v>0.1</v>
      </c>
      <c r="G759">
        <v>11.28</v>
      </c>
      <c r="H759">
        <v>84.42</v>
      </c>
      <c r="I759">
        <v>0</v>
      </c>
      <c r="J759">
        <v>2</v>
      </c>
      <c r="K759">
        <f>(StudentData[[#This Row],[Midterm_Grade]]*40%)+(StudentData[[#This Row],[Final_Grade]]*60%)</f>
        <v>55.164000000000001</v>
      </c>
      <c r="L759">
        <f>StudentData[[#This Row],[Attendance_Percentage]]*40%+StudentData[[#This Row],[Assignments_Completed]]*2+StudentData[[#This Row],[Class_Participation]]*2+StudentData[[#This Row],[Projects_Submitted]]*4</f>
        <v>36.808</v>
      </c>
      <c r="M759">
        <f>StudentData[[#This Row],[Academic_Score]]*60%+StudentData[[#This Row],[Engagement_Score]]*30%+MIN(StudentData[[#This Row],[Study_Hours_per_Week]],20)/20*100*10%</f>
        <v>44.140799999999999</v>
      </c>
      <c r="N759" s="3" t="str" cm="1">
        <f t="array" ref="N75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59" s="3" t="str">
        <f t="shared" si="22"/>
        <v>Medium Risk</v>
      </c>
      <c r="P759" s="3" t="str">
        <f t="shared" si="23"/>
        <v>18-20</v>
      </c>
    </row>
    <row r="760" spans="1:16">
      <c r="A760" t="s">
        <v>794</v>
      </c>
      <c r="B760">
        <v>18</v>
      </c>
      <c r="C760" t="s">
        <v>5</v>
      </c>
      <c r="D760">
        <v>65.849999999999994</v>
      </c>
      <c r="E760">
        <v>1</v>
      </c>
      <c r="F760">
        <v>8.58</v>
      </c>
      <c r="G760">
        <v>59.64</v>
      </c>
      <c r="H760">
        <v>13.93</v>
      </c>
      <c r="I760">
        <v>4</v>
      </c>
      <c r="J760">
        <v>2</v>
      </c>
      <c r="K760">
        <f>(StudentData[[#This Row],[Midterm_Grade]]*40%)+(StudentData[[#This Row],[Final_Grade]]*60%)</f>
        <v>32.213999999999999</v>
      </c>
      <c r="L760">
        <f>StudentData[[#This Row],[Attendance_Percentage]]*40%+StudentData[[#This Row],[Assignments_Completed]]*2+StudentData[[#This Row],[Class_Participation]]*2+StudentData[[#This Row],[Projects_Submitted]]*4</f>
        <v>53.5</v>
      </c>
      <c r="M760">
        <f>StudentData[[#This Row],[Academic_Score]]*60%+StudentData[[#This Row],[Engagement_Score]]*30%+MIN(StudentData[[#This Row],[Study_Hours_per_Week]],20)/20*100*10%</f>
        <v>37.378399999999999</v>
      </c>
      <c r="N760" s="3" t="str" cm="1">
        <f t="array" ref="N76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60" s="3" t="str">
        <f t="shared" si="22"/>
        <v>Medium Risk</v>
      </c>
      <c r="P760" s="3" t="str">
        <f t="shared" si="23"/>
        <v>18-20</v>
      </c>
    </row>
    <row r="761" spans="1:16">
      <c r="A761" t="s">
        <v>795</v>
      </c>
      <c r="B761">
        <v>24</v>
      </c>
      <c r="C761" t="s">
        <v>4</v>
      </c>
      <c r="D761">
        <v>71.73</v>
      </c>
      <c r="E761">
        <v>5</v>
      </c>
      <c r="F761">
        <v>7.31</v>
      </c>
      <c r="G761">
        <v>48.47</v>
      </c>
      <c r="H761">
        <v>52.02</v>
      </c>
      <c r="I761">
        <v>15</v>
      </c>
      <c r="J761">
        <v>1</v>
      </c>
      <c r="K761">
        <f>(StudentData[[#This Row],[Midterm_Grade]]*40%)+(StudentData[[#This Row],[Final_Grade]]*60%)</f>
        <v>50.6</v>
      </c>
      <c r="L761">
        <f>StudentData[[#This Row],[Attendance_Percentage]]*40%+StudentData[[#This Row],[Assignments_Completed]]*2+StudentData[[#This Row],[Class_Participation]]*2+StudentData[[#This Row],[Projects_Submitted]]*4</f>
        <v>57.312000000000005</v>
      </c>
      <c r="M761">
        <f>StudentData[[#This Row],[Academic_Score]]*60%+StudentData[[#This Row],[Engagement_Score]]*30%+MIN(StudentData[[#This Row],[Study_Hours_per_Week]],20)/20*100*10%</f>
        <v>55.053600000000003</v>
      </c>
      <c r="N761" s="3" t="str" cm="1">
        <f t="array" ref="N761">_xlfn.IFS(StudentData[[#This Row],[Success_Score]]&gt;=85,"Exceptional",StudentData[[#This Row],[Success_Score]]&gt;=70,"Strong",StudentData[[#This Row],[Success_Score]]&gt;=55,"Developing",TRUE,"Needs Improvement")</f>
        <v>Developing</v>
      </c>
      <c r="O761" s="3" t="str">
        <f t="shared" si="22"/>
        <v>Medium Risk</v>
      </c>
      <c r="P761" s="3" t="str">
        <f t="shared" si="23"/>
        <v>24-25</v>
      </c>
    </row>
    <row r="762" spans="1:16">
      <c r="A762" t="s">
        <v>796</v>
      </c>
      <c r="B762">
        <v>21</v>
      </c>
      <c r="C762" t="s">
        <v>5</v>
      </c>
      <c r="D762">
        <v>88.69</v>
      </c>
      <c r="E762">
        <v>9</v>
      </c>
      <c r="F762">
        <v>9.4700000000000006</v>
      </c>
      <c r="G762">
        <v>2.69</v>
      </c>
      <c r="H762">
        <v>3.71</v>
      </c>
      <c r="I762">
        <v>14</v>
      </c>
      <c r="J762">
        <v>3</v>
      </c>
      <c r="K762">
        <f>(StudentData[[#This Row],[Midterm_Grade]]*40%)+(StudentData[[#This Row],[Final_Grade]]*60%)</f>
        <v>3.302</v>
      </c>
      <c r="L762">
        <f>StudentData[[#This Row],[Attendance_Percentage]]*40%+StudentData[[#This Row],[Assignments_Completed]]*2+StudentData[[#This Row],[Class_Participation]]*2+StudentData[[#This Row],[Projects_Submitted]]*4</f>
        <v>84.415999999999997</v>
      </c>
      <c r="M762">
        <f>StudentData[[#This Row],[Academic_Score]]*60%+StudentData[[#This Row],[Engagement_Score]]*30%+MIN(StudentData[[#This Row],[Study_Hours_per_Week]],20)/20*100*10%</f>
        <v>34.305999999999997</v>
      </c>
      <c r="N762" s="3" t="str" cm="1">
        <f t="array" ref="N76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62" s="3" t="str">
        <f t="shared" si="22"/>
        <v>Medium Risk</v>
      </c>
      <c r="P762" s="3" t="str">
        <f t="shared" si="23"/>
        <v>21-23</v>
      </c>
    </row>
    <row r="763" spans="1:16">
      <c r="A763" t="s">
        <v>797</v>
      </c>
      <c r="B763">
        <v>19</v>
      </c>
      <c r="C763" t="s">
        <v>4</v>
      </c>
      <c r="D763">
        <v>80.099999999999994</v>
      </c>
      <c r="E763">
        <v>4</v>
      </c>
      <c r="F763">
        <v>7.82</v>
      </c>
      <c r="G763">
        <v>38.049999999999997</v>
      </c>
      <c r="H763">
        <v>8.07</v>
      </c>
      <c r="I763">
        <v>16</v>
      </c>
      <c r="J763">
        <v>1</v>
      </c>
      <c r="K763">
        <f>(StudentData[[#This Row],[Midterm_Grade]]*40%)+(StudentData[[#This Row],[Final_Grade]]*60%)</f>
        <v>20.061999999999998</v>
      </c>
      <c r="L763">
        <f>StudentData[[#This Row],[Attendance_Percentage]]*40%+StudentData[[#This Row],[Assignments_Completed]]*2+StudentData[[#This Row],[Class_Participation]]*2+StudentData[[#This Row],[Projects_Submitted]]*4</f>
        <v>59.68</v>
      </c>
      <c r="M763">
        <f>StudentData[[#This Row],[Academic_Score]]*60%+StudentData[[#This Row],[Engagement_Score]]*30%+MIN(StudentData[[#This Row],[Study_Hours_per_Week]],20)/20*100*10%</f>
        <v>37.941199999999995</v>
      </c>
      <c r="N763" s="3" t="str" cm="1">
        <f t="array" ref="N76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63" s="3" t="str">
        <f t="shared" si="22"/>
        <v>Medium Risk</v>
      </c>
      <c r="P763" s="3" t="str">
        <f t="shared" si="23"/>
        <v>18-20</v>
      </c>
    </row>
    <row r="764" spans="1:16">
      <c r="A764" t="s">
        <v>798</v>
      </c>
      <c r="B764">
        <v>22</v>
      </c>
      <c r="C764" t="s">
        <v>5</v>
      </c>
      <c r="D764">
        <v>94.63</v>
      </c>
      <c r="E764">
        <v>8</v>
      </c>
      <c r="F764">
        <v>3.14</v>
      </c>
      <c r="G764">
        <v>10.61</v>
      </c>
      <c r="H764">
        <v>67.23</v>
      </c>
      <c r="I764">
        <v>15</v>
      </c>
      <c r="J764">
        <v>0</v>
      </c>
      <c r="K764">
        <f>(StudentData[[#This Row],[Midterm_Grade]]*40%)+(StudentData[[#This Row],[Final_Grade]]*60%)</f>
        <v>44.582000000000001</v>
      </c>
      <c r="L764">
        <f>StudentData[[#This Row],[Attendance_Percentage]]*40%+StudentData[[#This Row],[Assignments_Completed]]*2+StudentData[[#This Row],[Class_Participation]]*2+StudentData[[#This Row],[Projects_Submitted]]*4</f>
        <v>60.131999999999998</v>
      </c>
      <c r="M764">
        <f>StudentData[[#This Row],[Academic_Score]]*60%+StudentData[[#This Row],[Engagement_Score]]*30%+MIN(StudentData[[#This Row],[Study_Hours_per_Week]],20)/20*100*10%</f>
        <v>52.288799999999995</v>
      </c>
      <c r="N764" s="3" t="str" cm="1">
        <f t="array" ref="N76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64" s="3" t="str">
        <f t="shared" si="22"/>
        <v>Medium Risk</v>
      </c>
      <c r="P764" s="3" t="str">
        <f t="shared" si="23"/>
        <v>21-23</v>
      </c>
    </row>
    <row r="765" spans="1:16">
      <c r="A765" t="s">
        <v>799</v>
      </c>
      <c r="B765">
        <v>19</v>
      </c>
      <c r="C765" t="s">
        <v>4</v>
      </c>
      <c r="D765">
        <v>72.17</v>
      </c>
      <c r="E765">
        <v>4</v>
      </c>
      <c r="F765">
        <v>2.48</v>
      </c>
      <c r="G765">
        <v>53.14</v>
      </c>
      <c r="H765">
        <v>68.92</v>
      </c>
      <c r="I765">
        <v>12</v>
      </c>
      <c r="J765">
        <v>3</v>
      </c>
      <c r="K765">
        <f>(StudentData[[#This Row],[Midterm_Grade]]*40%)+(StudentData[[#This Row],[Final_Grade]]*60%)</f>
        <v>62.607999999999997</v>
      </c>
      <c r="L765">
        <f>StudentData[[#This Row],[Attendance_Percentage]]*40%+StudentData[[#This Row],[Assignments_Completed]]*2+StudentData[[#This Row],[Class_Participation]]*2+StudentData[[#This Row],[Projects_Submitted]]*4</f>
        <v>53.828000000000003</v>
      </c>
      <c r="M765">
        <f>StudentData[[#This Row],[Academic_Score]]*60%+StudentData[[#This Row],[Engagement_Score]]*30%+MIN(StudentData[[#This Row],[Study_Hours_per_Week]],20)/20*100*10%</f>
        <v>59.713200000000001</v>
      </c>
      <c r="N765" s="3" t="str" cm="1">
        <f t="array" ref="N765">_xlfn.IFS(StudentData[[#This Row],[Success_Score]]&gt;=85,"Exceptional",StudentData[[#This Row],[Success_Score]]&gt;=70,"Strong",StudentData[[#This Row],[Success_Score]]&gt;=55,"Developing",TRUE,"Needs Improvement")</f>
        <v>Developing</v>
      </c>
      <c r="O765" s="3" t="str">
        <f t="shared" si="22"/>
        <v>Low Risk</v>
      </c>
      <c r="P765" s="3" t="str">
        <f t="shared" si="23"/>
        <v>18-20</v>
      </c>
    </row>
    <row r="766" spans="1:16">
      <c r="A766" t="s">
        <v>800</v>
      </c>
      <c r="B766">
        <v>22</v>
      </c>
      <c r="C766" t="s">
        <v>5</v>
      </c>
      <c r="D766">
        <v>80.349999999999994</v>
      </c>
      <c r="E766">
        <v>1</v>
      </c>
      <c r="F766">
        <v>6.98</v>
      </c>
      <c r="G766">
        <v>39.58</v>
      </c>
      <c r="H766">
        <v>34.15</v>
      </c>
      <c r="I766">
        <v>10</v>
      </c>
      <c r="J766">
        <v>2</v>
      </c>
      <c r="K766">
        <f>(StudentData[[#This Row],[Midterm_Grade]]*40%)+(StudentData[[#This Row],[Final_Grade]]*60%)</f>
        <v>36.322000000000003</v>
      </c>
      <c r="L766">
        <f>StudentData[[#This Row],[Attendance_Percentage]]*40%+StudentData[[#This Row],[Assignments_Completed]]*2+StudentData[[#This Row],[Class_Participation]]*2+StudentData[[#This Row],[Projects_Submitted]]*4</f>
        <v>56.1</v>
      </c>
      <c r="M766">
        <f>StudentData[[#This Row],[Academic_Score]]*60%+StudentData[[#This Row],[Engagement_Score]]*30%+MIN(StudentData[[#This Row],[Study_Hours_per_Week]],20)/20*100*10%</f>
        <v>43.623199999999997</v>
      </c>
      <c r="N766" s="3" t="str" cm="1">
        <f t="array" ref="N76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66" s="3" t="str">
        <f t="shared" si="22"/>
        <v>Medium Risk</v>
      </c>
      <c r="P766" s="3" t="str">
        <f t="shared" si="23"/>
        <v>21-23</v>
      </c>
    </row>
    <row r="767" spans="1:16">
      <c r="A767" t="s">
        <v>801</v>
      </c>
      <c r="B767">
        <v>20</v>
      </c>
      <c r="C767" t="s">
        <v>5</v>
      </c>
      <c r="D767">
        <v>81.569999999999993</v>
      </c>
      <c r="E767">
        <v>9</v>
      </c>
      <c r="F767">
        <v>3.64</v>
      </c>
      <c r="G767">
        <v>61.32</v>
      </c>
      <c r="H767">
        <v>21.56</v>
      </c>
      <c r="I767">
        <v>16</v>
      </c>
      <c r="J767">
        <v>4</v>
      </c>
      <c r="K767">
        <f>(StudentData[[#This Row],[Midterm_Grade]]*40%)+(StudentData[[#This Row],[Final_Grade]]*60%)</f>
        <v>37.463999999999999</v>
      </c>
      <c r="L767">
        <f>StudentData[[#This Row],[Attendance_Percentage]]*40%+StudentData[[#This Row],[Assignments_Completed]]*2+StudentData[[#This Row],[Class_Participation]]*2+StudentData[[#This Row],[Projects_Submitted]]*4</f>
        <v>73.908000000000001</v>
      </c>
      <c r="M767">
        <f>StudentData[[#This Row],[Academic_Score]]*60%+StudentData[[#This Row],[Engagement_Score]]*30%+MIN(StudentData[[#This Row],[Study_Hours_per_Week]],20)/20*100*10%</f>
        <v>52.650799999999997</v>
      </c>
      <c r="N767" s="3" t="str" cm="1">
        <f t="array" ref="N76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67" s="3" t="str">
        <f t="shared" si="22"/>
        <v>Medium Risk</v>
      </c>
      <c r="P767" s="3" t="str">
        <f t="shared" si="23"/>
        <v>18-20</v>
      </c>
    </row>
    <row r="768" spans="1:16">
      <c r="A768" t="s">
        <v>802</v>
      </c>
      <c r="B768">
        <v>22</v>
      </c>
      <c r="C768" t="s">
        <v>5</v>
      </c>
      <c r="D768">
        <v>79.58</v>
      </c>
      <c r="E768">
        <v>3</v>
      </c>
      <c r="F768">
        <v>5.66</v>
      </c>
      <c r="G768">
        <v>80.56</v>
      </c>
      <c r="H768">
        <v>81.37</v>
      </c>
      <c r="I768">
        <v>16</v>
      </c>
      <c r="J768">
        <v>4</v>
      </c>
      <c r="K768">
        <f>(StudentData[[#This Row],[Midterm_Grade]]*40%)+(StudentData[[#This Row],[Final_Grade]]*60%)</f>
        <v>81.046000000000006</v>
      </c>
      <c r="L768">
        <f>StudentData[[#This Row],[Attendance_Percentage]]*40%+StudentData[[#This Row],[Assignments_Completed]]*2+StudentData[[#This Row],[Class_Participation]]*2+StudentData[[#This Row],[Projects_Submitted]]*4</f>
        <v>65.152000000000001</v>
      </c>
      <c r="M768">
        <f>StudentData[[#This Row],[Academic_Score]]*60%+StudentData[[#This Row],[Engagement_Score]]*30%+MIN(StudentData[[#This Row],[Study_Hours_per_Week]],20)/20*100*10%</f>
        <v>76.173200000000008</v>
      </c>
      <c r="N768" s="3" t="str" cm="1">
        <f t="array" ref="N768">_xlfn.IFS(StudentData[[#This Row],[Success_Score]]&gt;=85,"Exceptional",StudentData[[#This Row],[Success_Score]]&gt;=70,"Strong",StudentData[[#This Row],[Success_Score]]&gt;=55,"Developing",TRUE,"Needs Improvement")</f>
        <v>Strong</v>
      </c>
      <c r="O768" s="3" t="str">
        <f t="shared" si="22"/>
        <v>Low Risk</v>
      </c>
      <c r="P768" s="3" t="str">
        <f t="shared" si="23"/>
        <v>21-23</v>
      </c>
    </row>
    <row r="769" spans="1:16">
      <c r="A769" t="s">
        <v>803</v>
      </c>
      <c r="B769">
        <v>25</v>
      </c>
      <c r="C769" t="s">
        <v>4</v>
      </c>
      <c r="D769">
        <v>85.13</v>
      </c>
      <c r="E769">
        <v>8</v>
      </c>
      <c r="F769">
        <v>0.06</v>
      </c>
      <c r="G769">
        <v>29.97</v>
      </c>
      <c r="H769">
        <v>21.71</v>
      </c>
      <c r="I769">
        <v>1</v>
      </c>
      <c r="J769">
        <v>0</v>
      </c>
      <c r="K769">
        <f>(StudentData[[#This Row],[Midterm_Grade]]*40%)+(StudentData[[#This Row],[Final_Grade]]*60%)</f>
        <v>25.013999999999999</v>
      </c>
      <c r="L769">
        <f>StudentData[[#This Row],[Attendance_Percentage]]*40%+StudentData[[#This Row],[Assignments_Completed]]*2+StudentData[[#This Row],[Class_Participation]]*2+StudentData[[#This Row],[Projects_Submitted]]*4</f>
        <v>50.171999999999997</v>
      </c>
      <c r="M769">
        <f>StudentData[[#This Row],[Academic_Score]]*60%+StudentData[[#This Row],[Engagement_Score]]*30%+MIN(StudentData[[#This Row],[Study_Hours_per_Week]],20)/20*100*10%</f>
        <v>30.559999999999995</v>
      </c>
      <c r="N769" s="3" t="str" cm="1">
        <f t="array" ref="N76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69" s="3" t="str">
        <f t="shared" si="22"/>
        <v>Medium Risk</v>
      </c>
      <c r="P769" s="3" t="str">
        <f t="shared" si="23"/>
        <v>24-25</v>
      </c>
    </row>
    <row r="770" spans="1:16">
      <c r="A770" t="s">
        <v>804</v>
      </c>
      <c r="B770">
        <v>21</v>
      </c>
      <c r="C770" t="s">
        <v>4</v>
      </c>
      <c r="D770">
        <v>61.87</v>
      </c>
      <c r="E770">
        <v>0</v>
      </c>
      <c r="F770">
        <v>0.62</v>
      </c>
      <c r="G770">
        <v>96.21</v>
      </c>
      <c r="H770">
        <v>54.2</v>
      </c>
      <c r="I770">
        <v>12</v>
      </c>
      <c r="J770">
        <v>1</v>
      </c>
      <c r="K770">
        <f>(StudentData[[#This Row],[Midterm_Grade]]*40%)+(StudentData[[#This Row],[Final_Grade]]*60%)</f>
        <v>71.004000000000005</v>
      </c>
      <c r="L770">
        <f>StudentData[[#This Row],[Attendance_Percentage]]*40%+StudentData[[#This Row],[Assignments_Completed]]*2+StudentData[[#This Row],[Class_Participation]]*2+StudentData[[#This Row],[Projects_Submitted]]*4</f>
        <v>29.988</v>
      </c>
      <c r="M770">
        <f>StudentData[[#This Row],[Academic_Score]]*60%+StudentData[[#This Row],[Engagement_Score]]*30%+MIN(StudentData[[#This Row],[Study_Hours_per_Week]],20)/20*100*10%</f>
        <v>57.598800000000004</v>
      </c>
      <c r="N770" s="3" t="str" cm="1">
        <f t="array" ref="N770">_xlfn.IFS(StudentData[[#This Row],[Success_Score]]&gt;=85,"Exceptional",StudentData[[#This Row],[Success_Score]]&gt;=70,"Strong",StudentData[[#This Row],[Success_Score]]&gt;=55,"Developing",TRUE,"Needs Improvement")</f>
        <v>Developing</v>
      </c>
      <c r="O770" s="3" t="str">
        <f t="shared" ref="O770:O833" si="24">IF(AND(D770&lt;60,K770&lt;50),"High Risk",IF(OR(D770&lt;70,K770&lt;60),"Medium Risk","Low Risk"))</f>
        <v>Medium Risk</v>
      </c>
      <c r="P770" s="3" t="str">
        <f t="shared" ref="P770:P833" si="25">IF(B770&lt;=20,"18-20",IF(B770&lt;=23,"21-23","24-25"))</f>
        <v>21-23</v>
      </c>
    </row>
    <row r="771" spans="1:16">
      <c r="A771" t="s">
        <v>805</v>
      </c>
      <c r="B771">
        <v>18</v>
      </c>
      <c r="C771" t="s">
        <v>5</v>
      </c>
      <c r="D771">
        <v>75.62</v>
      </c>
      <c r="E771">
        <v>10</v>
      </c>
      <c r="F771">
        <v>5.35</v>
      </c>
      <c r="G771">
        <v>53.56</v>
      </c>
      <c r="H771">
        <v>96.82</v>
      </c>
      <c r="I771">
        <v>13</v>
      </c>
      <c r="J771">
        <v>0</v>
      </c>
      <c r="K771">
        <f>(StudentData[[#This Row],[Midterm_Grade]]*40%)+(StudentData[[#This Row],[Final_Grade]]*60%)</f>
        <v>79.515999999999991</v>
      </c>
      <c r="L771">
        <f>StudentData[[#This Row],[Attendance_Percentage]]*40%+StudentData[[#This Row],[Assignments_Completed]]*2+StudentData[[#This Row],[Class_Participation]]*2+StudentData[[#This Row],[Projects_Submitted]]*4</f>
        <v>60.948000000000008</v>
      </c>
      <c r="M771">
        <f>StudentData[[#This Row],[Academic_Score]]*60%+StudentData[[#This Row],[Engagement_Score]]*30%+MIN(StudentData[[#This Row],[Study_Hours_per_Week]],20)/20*100*10%</f>
        <v>72.494</v>
      </c>
      <c r="N771" s="3" t="str" cm="1">
        <f t="array" ref="N771">_xlfn.IFS(StudentData[[#This Row],[Success_Score]]&gt;=85,"Exceptional",StudentData[[#This Row],[Success_Score]]&gt;=70,"Strong",StudentData[[#This Row],[Success_Score]]&gt;=55,"Developing",TRUE,"Needs Improvement")</f>
        <v>Strong</v>
      </c>
      <c r="O771" s="3" t="str">
        <f t="shared" si="24"/>
        <v>Low Risk</v>
      </c>
      <c r="P771" s="3" t="str">
        <f t="shared" si="25"/>
        <v>18-20</v>
      </c>
    </row>
    <row r="772" spans="1:16">
      <c r="A772" t="s">
        <v>806</v>
      </c>
      <c r="B772">
        <v>22</v>
      </c>
      <c r="C772" t="s">
        <v>4</v>
      </c>
      <c r="D772">
        <v>55.21</v>
      </c>
      <c r="E772">
        <v>0</v>
      </c>
      <c r="F772">
        <v>5.66</v>
      </c>
      <c r="G772">
        <v>61.83</v>
      </c>
      <c r="H772">
        <v>14.79</v>
      </c>
      <c r="I772">
        <v>10</v>
      </c>
      <c r="J772">
        <v>4</v>
      </c>
      <c r="K772">
        <f>(StudentData[[#This Row],[Midterm_Grade]]*40%)+(StudentData[[#This Row],[Final_Grade]]*60%)</f>
        <v>33.605999999999995</v>
      </c>
      <c r="L772">
        <f>StudentData[[#This Row],[Attendance_Percentage]]*40%+StudentData[[#This Row],[Assignments_Completed]]*2+StudentData[[#This Row],[Class_Participation]]*2+StudentData[[#This Row],[Projects_Submitted]]*4</f>
        <v>49.404000000000003</v>
      </c>
      <c r="M772">
        <f>StudentData[[#This Row],[Academic_Score]]*60%+StudentData[[#This Row],[Engagement_Score]]*30%+MIN(StudentData[[#This Row],[Study_Hours_per_Week]],20)/20*100*10%</f>
        <v>39.984799999999993</v>
      </c>
      <c r="N772" s="3" t="str" cm="1">
        <f t="array" ref="N77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72" s="3" t="str">
        <f t="shared" si="24"/>
        <v>High Risk</v>
      </c>
      <c r="P772" s="3" t="str">
        <f t="shared" si="25"/>
        <v>21-23</v>
      </c>
    </row>
    <row r="773" spans="1:16">
      <c r="A773" t="s">
        <v>807</v>
      </c>
      <c r="B773">
        <v>22</v>
      </c>
      <c r="C773" t="s">
        <v>4</v>
      </c>
      <c r="D773">
        <v>69.23</v>
      </c>
      <c r="E773">
        <v>6</v>
      </c>
      <c r="F773">
        <v>7.51</v>
      </c>
      <c r="G773">
        <v>68.069999999999993</v>
      </c>
      <c r="H773">
        <v>94.09</v>
      </c>
      <c r="I773">
        <v>9</v>
      </c>
      <c r="J773">
        <v>2</v>
      </c>
      <c r="K773">
        <f>(StudentData[[#This Row],[Midterm_Grade]]*40%)+(StudentData[[#This Row],[Final_Grade]]*60%)</f>
        <v>83.682000000000002</v>
      </c>
      <c r="L773">
        <f>StudentData[[#This Row],[Attendance_Percentage]]*40%+StudentData[[#This Row],[Assignments_Completed]]*2+StudentData[[#This Row],[Class_Participation]]*2+StudentData[[#This Row],[Projects_Submitted]]*4</f>
        <v>62.712000000000003</v>
      </c>
      <c r="M773">
        <f>StudentData[[#This Row],[Academic_Score]]*60%+StudentData[[#This Row],[Engagement_Score]]*30%+MIN(StudentData[[#This Row],[Study_Hours_per_Week]],20)/20*100*10%</f>
        <v>73.522800000000004</v>
      </c>
      <c r="N773" s="3" t="str" cm="1">
        <f t="array" ref="N773">_xlfn.IFS(StudentData[[#This Row],[Success_Score]]&gt;=85,"Exceptional",StudentData[[#This Row],[Success_Score]]&gt;=70,"Strong",StudentData[[#This Row],[Success_Score]]&gt;=55,"Developing",TRUE,"Needs Improvement")</f>
        <v>Strong</v>
      </c>
      <c r="O773" s="3" t="str">
        <f t="shared" si="24"/>
        <v>Medium Risk</v>
      </c>
      <c r="P773" s="3" t="str">
        <f t="shared" si="25"/>
        <v>21-23</v>
      </c>
    </row>
    <row r="774" spans="1:16">
      <c r="A774" t="s">
        <v>808</v>
      </c>
      <c r="B774">
        <v>18</v>
      </c>
      <c r="C774" t="s">
        <v>4</v>
      </c>
      <c r="D774">
        <v>74.38</v>
      </c>
      <c r="E774">
        <v>10</v>
      </c>
      <c r="F774">
        <v>1.32</v>
      </c>
      <c r="G774">
        <v>66.67</v>
      </c>
      <c r="H774">
        <v>18.29</v>
      </c>
      <c r="I774">
        <v>2</v>
      </c>
      <c r="J774">
        <v>4</v>
      </c>
      <c r="K774">
        <f>(StudentData[[#This Row],[Midterm_Grade]]*40%)+(StudentData[[#This Row],[Final_Grade]]*60%)</f>
        <v>37.642000000000003</v>
      </c>
      <c r="L774">
        <f>StudentData[[#This Row],[Attendance_Percentage]]*40%+StudentData[[#This Row],[Assignments_Completed]]*2+StudentData[[#This Row],[Class_Participation]]*2+StudentData[[#This Row],[Projects_Submitted]]*4</f>
        <v>68.391999999999996</v>
      </c>
      <c r="M774">
        <f>StudentData[[#This Row],[Academic_Score]]*60%+StudentData[[#This Row],[Engagement_Score]]*30%+MIN(StudentData[[#This Row],[Study_Hours_per_Week]],20)/20*100*10%</f>
        <v>44.102800000000002</v>
      </c>
      <c r="N774" s="3" t="str" cm="1">
        <f t="array" ref="N77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74" s="3" t="str">
        <f t="shared" si="24"/>
        <v>Medium Risk</v>
      </c>
      <c r="P774" s="3" t="str">
        <f t="shared" si="25"/>
        <v>18-20</v>
      </c>
    </row>
    <row r="775" spans="1:16">
      <c r="A775" t="s">
        <v>809</v>
      </c>
      <c r="B775">
        <v>21</v>
      </c>
      <c r="C775" t="s">
        <v>5</v>
      </c>
      <c r="D775">
        <v>82.61</v>
      </c>
      <c r="E775">
        <v>2</v>
      </c>
      <c r="F775">
        <v>5.13</v>
      </c>
      <c r="G775">
        <v>51.1</v>
      </c>
      <c r="H775">
        <v>56.74</v>
      </c>
      <c r="I775">
        <v>16</v>
      </c>
      <c r="J775">
        <v>3</v>
      </c>
      <c r="K775">
        <f>(StudentData[[#This Row],[Midterm_Grade]]*40%)+(StudentData[[#This Row],[Final_Grade]]*60%)</f>
        <v>54.483999999999995</v>
      </c>
      <c r="L775">
        <f>StudentData[[#This Row],[Attendance_Percentage]]*40%+StudentData[[#This Row],[Assignments_Completed]]*2+StudentData[[#This Row],[Class_Participation]]*2+StudentData[[#This Row],[Projects_Submitted]]*4</f>
        <v>59.304000000000002</v>
      </c>
      <c r="M775">
        <f>StudentData[[#This Row],[Academic_Score]]*60%+StudentData[[#This Row],[Engagement_Score]]*30%+MIN(StudentData[[#This Row],[Study_Hours_per_Week]],20)/20*100*10%</f>
        <v>58.4816</v>
      </c>
      <c r="N775" s="3" t="str" cm="1">
        <f t="array" ref="N775">_xlfn.IFS(StudentData[[#This Row],[Success_Score]]&gt;=85,"Exceptional",StudentData[[#This Row],[Success_Score]]&gt;=70,"Strong",StudentData[[#This Row],[Success_Score]]&gt;=55,"Developing",TRUE,"Needs Improvement")</f>
        <v>Developing</v>
      </c>
      <c r="O775" s="3" t="str">
        <f t="shared" si="24"/>
        <v>Medium Risk</v>
      </c>
      <c r="P775" s="3" t="str">
        <f t="shared" si="25"/>
        <v>21-23</v>
      </c>
    </row>
    <row r="776" spans="1:16">
      <c r="A776" t="s">
        <v>810</v>
      </c>
      <c r="B776">
        <v>19</v>
      </c>
      <c r="C776" t="s">
        <v>4</v>
      </c>
      <c r="D776">
        <v>97.53</v>
      </c>
      <c r="E776">
        <v>9</v>
      </c>
      <c r="F776">
        <v>1.94</v>
      </c>
      <c r="G776">
        <v>42.88</v>
      </c>
      <c r="H776">
        <v>37.700000000000003</v>
      </c>
      <c r="I776">
        <v>14</v>
      </c>
      <c r="J776">
        <v>5</v>
      </c>
      <c r="K776">
        <f>(StudentData[[#This Row],[Midterm_Grade]]*40%)+(StudentData[[#This Row],[Final_Grade]]*60%)</f>
        <v>39.772000000000006</v>
      </c>
      <c r="L776">
        <f>StudentData[[#This Row],[Attendance_Percentage]]*40%+StudentData[[#This Row],[Assignments_Completed]]*2+StudentData[[#This Row],[Class_Participation]]*2+StudentData[[#This Row],[Projects_Submitted]]*4</f>
        <v>80.891999999999996</v>
      </c>
      <c r="M776">
        <f>StudentData[[#This Row],[Academic_Score]]*60%+StudentData[[#This Row],[Engagement_Score]]*30%+MIN(StudentData[[#This Row],[Study_Hours_per_Week]],20)/20*100*10%</f>
        <v>55.130800000000001</v>
      </c>
      <c r="N776" s="3" t="str" cm="1">
        <f t="array" ref="N776">_xlfn.IFS(StudentData[[#This Row],[Success_Score]]&gt;=85,"Exceptional",StudentData[[#This Row],[Success_Score]]&gt;=70,"Strong",StudentData[[#This Row],[Success_Score]]&gt;=55,"Developing",TRUE,"Needs Improvement")</f>
        <v>Developing</v>
      </c>
      <c r="O776" s="3" t="str">
        <f t="shared" si="24"/>
        <v>Medium Risk</v>
      </c>
      <c r="P776" s="3" t="str">
        <f t="shared" si="25"/>
        <v>18-20</v>
      </c>
    </row>
    <row r="777" spans="1:16">
      <c r="A777" t="s">
        <v>811</v>
      </c>
      <c r="B777">
        <v>22</v>
      </c>
      <c r="C777" t="s">
        <v>5</v>
      </c>
      <c r="D777">
        <v>80.03</v>
      </c>
      <c r="E777">
        <v>1</v>
      </c>
      <c r="F777">
        <v>0.93</v>
      </c>
      <c r="G777">
        <v>5.38</v>
      </c>
      <c r="H777">
        <v>96.49</v>
      </c>
      <c r="I777">
        <v>8</v>
      </c>
      <c r="J777">
        <v>4</v>
      </c>
      <c r="K777">
        <f>(StudentData[[#This Row],[Midterm_Grade]]*40%)+(StudentData[[#This Row],[Final_Grade]]*60%)</f>
        <v>60.045999999999992</v>
      </c>
      <c r="L777">
        <f>StudentData[[#This Row],[Attendance_Percentage]]*40%+StudentData[[#This Row],[Assignments_Completed]]*2+StudentData[[#This Row],[Class_Participation]]*2+StudentData[[#This Row],[Projects_Submitted]]*4</f>
        <v>51.872</v>
      </c>
      <c r="M777">
        <f>StudentData[[#This Row],[Academic_Score]]*60%+StudentData[[#This Row],[Engagement_Score]]*30%+MIN(StudentData[[#This Row],[Study_Hours_per_Week]],20)/20*100*10%</f>
        <v>55.589199999999991</v>
      </c>
      <c r="N777" s="3" t="str" cm="1">
        <f t="array" ref="N777">_xlfn.IFS(StudentData[[#This Row],[Success_Score]]&gt;=85,"Exceptional",StudentData[[#This Row],[Success_Score]]&gt;=70,"Strong",StudentData[[#This Row],[Success_Score]]&gt;=55,"Developing",TRUE,"Needs Improvement")</f>
        <v>Developing</v>
      </c>
      <c r="O777" s="3" t="str">
        <f t="shared" si="24"/>
        <v>Low Risk</v>
      </c>
      <c r="P777" s="3" t="str">
        <f t="shared" si="25"/>
        <v>21-23</v>
      </c>
    </row>
    <row r="778" spans="1:16">
      <c r="A778" t="s">
        <v>812</v>
      </c>
      <c r="B778">
        <v>18</v>
      </c>
      <c r="C778" t="s">
        <v>5</v>
      </c>
      <c r="D778">
        <v>87.18</v>
      </c>
      <c r="E778">
        <v>8</v>
      </c>
      <c r="F778">
        <v>4.0999999999999996</v>
      </c>
      <c r="G778">
        <v>2.21</v>
      </c>
      <c r="H778">
        <v>27.35</v>
      </c>
      <c r="I778">
        <v>9</v>
      </c>
      <c r="J778">
        <v>4</v>
      </c>
      <c r="K778">
        <f>(StudentData[[#This Row],[Midterm_Grade]]*40%)+(StudentData[[#This Row],[Final_Grade]]*60%)</f>
        <v>17.294</v>
      </c>
      <c r="L778">
        <f>StudentData[[#This Row],[Attendance_Percentage]]*40%+StudentData[[#This Row],[Assignments_Completed]]*2+StudentData[[#This Row],[Class_Participation]]*2+StudentData[[#This Row],[Projects_Submitted]]*4</f>
        <v>75.072000000000003</v>
      </c>
      <c r="M778">
        <f>StudentData[[#This Row],[Academic_Score]]*60%+StudentData[[#This Row],[Engagement_Score]]*30%+MIN(StudentData[[#This Row],[Study_Hours_per_Week]],20)/20*100*10%</f>
        <v>37.397999999999996</v>
      </c>
      <c r="N778" s="3" t="str" cm="1">
        <f t="array" ref="N77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78" s="3" t="str">
        <f t="shared" si="24"/>
        <v>Medium Risk</v>
      </c>
      <c r="P778" s="3" t="str">
        <f t="shared" si="25"/>
        <v>18-20</v>
      </c>
    </row>
    <row r="779" spans="1:16">
      <c r="A779" t="s">
        <v>813</v>
      </c>
      <c r="B779">
        <v>25</v>
      </c>
      <c r="C779" t="s">
        <v>6</v>
      </c>
      <c r="D779">
        <v>75.31</v>
      </c>
      <c r="E779">
        <v>2</v>
      </c>
      <c r="F779">
        <v>1.63</v>
      </c>
      <c r="G779">
        <v>35.799999999999997</v>
      </c>
      <c r="H779">
        <v>39.97</v>
      </c>
      <c r="I779">
        <v>7</v>
      </c>
      <c r="J779">
        <v>5</v>
      </c>
      <c r="K779">
        <f>(StudentData[[#This Row],[Midterm_Grade]]*40%)+(StudentData[[#This Row],[Final_Grade]]*60%)</f>
        <v>38.302</v>
      </c>
      <c r="L779">
        <f>StudentData[[#This Row],[Attendance_Percentage]]*40%+StudentData[[#This Row],[Assignments_Completed]]*2+StudentData[[#This Row],[Class_Participation]]*2+StudentData[[#This Row],[Projects_Submitted]]*4</f>
        <v>57.384</v>
      </c>
      <c r="M779">
        <f>StudentData[[#This Row],[Academic_Score]]*60%+StudentData[[#This Row],[Engagement_Score]]*30%+MIN(StudentData[[#This Row],[Study_Hours_per_Week]],20)/20*100*10%</f>
        <v>43.696399999999997</v>
      </c>
      <c r="N779" s="3" t="str" cm="1">
        <f t="array" ref="N77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79" s="3" t="str">
        <f t="shared" si="24"/>
        <v>Medium Risk</v>
      </c>
      <c r="P779" s="3" t="str">
        <f t="shared" si="25"/>
        <v>24-25</v>
      </c>
    </row>
    <row r="780" spans="1:16">
      <c r="A780" t="s">
        <v>814</v>
      </c>
      <c r="B780">
        <v>25</v>
      </c>
      <c r="C780" t="s">
        <v>5</v>
      </c>
      <c r="D780">
        <v>81.709999999999994</v>
      </c>
      <c r="E780">
        <v>1</v>
      </c>
      <c r="F780">
        <v>2.2200000000000002</v>
      </c>
      <c r="G780">
        <v>33.369999999999997</v>
      </c>
      <c r="H780">
        <v>98.29</v>
      </c>
      <c r="I780">
        <v>12</v>
      </c>
      <c r="J780">
        <v>3</v>
      </c>
      <c r="K780">
        <f>(StudentData[[#This Row],[Midterm_Grade]]*40%)+(StudentData[[#This Row],[Final_Grade]]*60%)</f>
        <v>72.322000000000003</v>
      </c>
      <c r="L780">
        <f>StudentData[[#This Row],[Attendance_Percentage]]*40%+StudentData[[#This Row],[Assignments_Completed]]*2+StudentData[[#This Row],[Class_Participation]]*2+StudentData[[#This Row],[Projects_Submitted]]*4</f>
        <v>51.123999999999995</v>
      </c>
      <c r="M780">
        <f>StudentData[[#This Row],[Academic_Score]]*60%+StudentData[[#This Row],[Engagement_Score]]*30%+MIN(StudentData[[#This Row],[Study_Hours_per_Week]],20)/20*100*10%</f>
        <v>64.730400000000003</v>
      </c>
      <c r="N780" s="3" t="str" cm="1">
        <f t="array" ref="N780">_xlfn.IFS(StudentData[[#This Row],[Success_Score]]&gt;=85,"Exceptional",StudentData[[#This Row],[Success_Score]]&gt;=70,"Strong",StudentData[[#This Row],[Success_Score]]&gt;=55,"Developing",TRUE,"Needs Improvement")</f>
        <v>Developing</v>
      </c>
      <c r="O780" s="3" t="str">
        <f t="shared" si="24"/>
        <v>Low Risk</v>
      </c>
      <c r="P780" s="3" t="str">
        <f t="shared" si="25"/>
        <v>24-25</v>
      </c>
    </row>
    <row r="781" spans="1:16">
      <c r="A781" t="s">
        <v>815</v>
      </c>
      <c r="B781">
        <v>20</v>
      </c>
      <c r="C781" t="s">
        <v>4</v>
      </c>
      <c r="D781">
        <v>53.55</v>
      </c>
      <c r="E781">
        <v>7</v>
      </c>
      <c r="F781">
        <v>3.18</v>
      </c>
      <c r="G781">
        <v>38.770000000000003</v>
      </c>
      <c r="H781">
        <v>53.65</v>
      </c>
      <c r="I781">
        <v>17</v>
      </c>
      <c r="J781">
        <v>1</v>
      </c>
      <c r="K781">
        <f>(StudentData[[#This Row],[Midterm_Grade]]*40%)+(StudentData[[#This Row],[Final_Grade]]*60%)</f>
        <v>47.698</v>
      </c>
      <c r="L781">
        <f>StudentData[[#This Row],[Attendance_Percentage]]*40%+StudentData[[#This Row],[Assignments_Completed]]*2+StudentData[[#This Row],[Class_Participation]]*2+StudentData[[#This Row],[Projects_Submitted]]*4</f>
        <v>45.78</v>
      </c>
      <c r="M781">
        <f>StudentData[[#This Row],[Academic_Score]]*60%+StudentData[[#This Row],[Engagement_Score]]*30%+MIN(StudentData[[#This Row],[Study_Hours_per_Week]],20)/20*100*10%</f>
        <v>50.852800000000002</v>
      </c>
      <c r="N781" s="3" t="str" cm="1">
        <f t="array" ref="N78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81" s="3" t="str">
        <f t="shared" si="24"/>
        <v>High Risk</v>
      </c>
      <c r="P781" s="3" t="str">
        <f t="shared" si="25"/>
        <v>18-20</v>
      </c>
    </row>
    <row r="782" spans="1:16">
      <c r="A782" t="s">
        <v>816</v>
      </c>
      <c r="B782">
        <v>18</v>
      </c>
      <c r="C782" t="s">
        <v>4</v>
      </c>
      <c r="D782">
        <v>62.72</v>
      </c>
      <c r="E782">
        <v>9</v>
      </c>
      <c r="F782">
        <v>2.59</v>
      </c>
      <c r="G782">
        <v>13.84</v>
      </c>
      <c r="H782">
        <v>50.26</v>
      </c>
      <c r="I782">
        <v>4</v>
      </c>
      <c r="J782">
        <v>4</v>
      </c>
      <c r="K782">
        <f>(StudentData[[#This Row],[Midterm_Grade]]*40%)+(StudentData[[#This Row],[Final_Grade]]*60%)</f>
        <v>35.692</v>
      </c>
      <c r="L782">
        <f>StudentData[[#This Row],[Attendance_Percentage]]*40%+StudentData[[#This Row],[Assignments_Completed]]*2+StudentData[[#This Row],[Class_Participation]]*2+StudentData[[#This Row],[Projects_Submitted]]*4</f>
        <v>64.268000000000001</v>
      </c>
      <c r="M782">
        <f>StudentData[[#This Row],[Academic_Score]]*60%+StudentData[[#This Row],[Engagement_Score]]*30%+MIN(StudentData[[#This Row],[Study_Hours_per_Week]],20)/20*100*10%</f>
        <v>42.695599999999999</v>
      </c>
      <c r="N782" s="3" t="str" cm="1">
        <f t="array" ref="N78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82" s="3" t="str">
        <f t="shared" si="24"/>
        <v>Medium Risk</v>
      </c>
      <c r="P782" s="3" t="str">
        <f t="shared" si="25"/>
        <v>18-20</v>
      </c>
    </row>
    <row r="783" spans="1:16">
      <c r="A783" t="s">
        <v>817</v>
      </c>
      <c r="B783">
        <v>20</v>
      </c>
      <c r="C783" t="s">
        <v>4</v>
      </c>
      <c r="D783">
        <v>68.09</v>
      </c>
      <c r="E783">
        <v>5</v>
      </c>
      <c r="F783">
        <v>0.88</v>
      </c>
      <c r="G783">
        <v>73.819999999999993</v>
      </c>
      <c r="H783">
        <v>25.78</v>
      </c>
      <c r="I783">
        <v>5</v>
      </c>
      <c r="J783">
        <v>0</v>
      </c>
      <c r="K783">
        <f>(StudentData[[#This Row],[Midterm_Grade]]*40%)+(StudentData[[#This Row],[Final_Grade]]*60%)</f>
        <v>44.995999999999995</v>
      </c>
      <c r="L783">
        <f>StudentData[[#This Row],[Attendance_Percentage]]*40%+StudentData[[#This Row],[Assignments_Completed]]*2+StudentData[[#This Row],[Class_Participation]]*2+StudentData[[#This Row],[Projects_Submitted]]*4</f>
        <v>38.996000000000002</v>
      </c>
      <c r="M783">
        <f>StudentData[[#This Row],[Academic_Score]]*60%+StudentData[[#This Row],[Engagement_Score]]*30%+MIN(StudentData[[#This Row],[Study_Hours_per_Week]],20)/20*100*10%</f>
        <v>41.196399999999997</v>
      </c>
      <c r="N783" s="3" t="str" cm="1">
        <f t="array" ref="N78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83" s="3" t="str">
        <f t="shared" si="24"/>
        <v>Medium Risk</v>
      </c>
      <c r="P783" s="3" t="str">
        <f t="shared" si="25"/>
        <v>18-20</v>
      </c>
    </row>
    <row r="784" spans="1:16">
      <c r="A784" t="s">
        <v>818</v>
      </c>
      <c r="B784">
        <v>25</v>
      </c>
      <c r="C784" t="s">
        <v>4</v>
      </c>
      <c r="D784">
        <v>73.62</v>
      </c>
      <c r="E784">
        <v>5</v>
      </c>
      <c r="F784">
        <v>0.9</v>
      </c>
      <c r="G784">
        <v>85.7</v>
      </c>
      <c r="H784">
        <v>70.14</v>
      </c>
      <c r="I784">
        <v>16</v>
      </c>
      <c r="J784">
        <v>4</v>
      </c>
      <c r="K784">
        <f>(StudentData[[#This Row],[Midterm_Grade]]*40%)+(StudentData[[#This Row],[Final_Grade]]*60%)</f>
        <v>76.364000000000004</v>
      </c>
      <c r="L784">
        <f>StudentData[[#This Row],[Attendance_Percentage]]*40%+StudentData[[#This Row],[Assignments_Completed]]*2+StudentData[[#This Row],[Class_Participation]]*2+StudentData[[#This Row],[Projects_Submitted]]*4</f>
        <v>57.248000000000005</v>
      </c>
      <c r="M784">
        <f>StudentData[[#This Row],[Academic_Score]]*60%+StudentData[[#This Row],[Engagement_Score]]*30%+MIN(StudentData[[#This Row],[Study_Hours_per_Week]],20)/20*100*10%</f>
        <v>70.992800000000003</v>
      </c>
      <c r="N784" s="3" t="str" cm="1">
        <f t="array" ref="N784">_xlfn.IFS(StudentData[[#This Row],[Success_Score]]&gt;=85,"Exceptional",StudentData[[#This Row],[Success_Score]]&gt;=70,"Strong",StudentData[[#This Row],[Success_Score]]&gt;=55,"Developing",TRUE,"Needs Improvement")</f>
        <v>Strong</v>
      </c>
      <c r="O784" s="3" t="str">
        <f t="shared" si="24"/>
        <v>Low Risk</v>
      </c>
      <c r="P784" s="3" t="str">
        <f t="shared" si="25"/>
        <v>24-25</v>
      </c>
    </row>
    <row r="785" spans="1:16">
      <c r="A785" t="s">
        <v>819</v>
      </c>
      <c r="B785">
        <v>21</v>
      </c>
      <c r="C785" t="s">
        <v>5</v>
      </c>
      <c r="D785">
        <v>52.28</v>
      </c>
      <c r="E785">
        <v>9</v>
      </c>
      <c r="F785">
        <v>1.93</v>
      </c>
      <c r="G785">
        <v>93.87</v>
      </c>
      <c r="H785">
        <v>1.44</v>
      </c>
      <c r="I785">
        <v>10</v>
      </c>
      <c r="J785">
        <v>0</v>
      </c>
      <c r="K785">
        <f>(StudentData[[#This Row],[Midterm_Grade]]*40%)+(StudentData[[#This Row],[Final_Grade]]*60%)</f>
        <v>38.411999999999999</v>
      </c>
      <c r="L785">
        <f>StudentData[[#This Row],[Attendance_Percentage]]*40%+StudentData[[#This Row],[Assignments_Completed]]*2+StudentData[[#This Row],[Class_Participation]]*2+StudentData[[#This Row],[Projects_Submitted]]*4</f>
        <v>42.772000000000006</v>
      </c>
      <c r="M785">
        <f>StudentData[[#This Row],[Academic_Score]]*60%+StudentData[[#This Row],[Engagement_Score]]*30%+MIN(StudentData[[#This Row],[Study_Hours_per_Week]],20)/20*100*10%</f>
        <v>40.878799999999998</v>
      </c>
      <c r="N785" s="3" t="str" cm="1">
        <f t="array" ref="N78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85" s="3" t="str">
        <f t="shared" si="24"/>
        <v>High Risk</v>
      </c>
      <c r="P785" s="3" t="str">
        <f t="shared" si="25"/>
        <v>21-23</v>
      </c>
    </row>
    <row r="786" spans="1:16">
      <c r="A786" t="s">
        <v>820</v>
      </c>
      <c r="B786">
        <v>19</v>
      </c>
      <c r="C786" t="s">
        <v>5</v>
      </c>
      <c r="D786">
        <v>57</v>
      </c>
      <c r="E786">
        <v>10</v>
      </c>
      <c r="F786">
        <v>0.51</v>
      </c>
      <c r="G786">
        <v>49.24</v>
      </c>
      <c r="H786">
        <v>4.95</v>
      </c>
      <c r="I786">
        <v>19</v>
      </c>
      <c r="J786">
        <v>3</v>
      </c>
      <c r="K786">
        <f>(StudentData[[#This Row],[Midterm_Grade]]*40%)+(StudentData[[#This Row],[Final_Grade]]*60%)</f>
        <v>22.666</v>
      </c>
      <c r="L786">
        <f>StudentData[[#This Row],[Attendance_Percentage]]*40%+StudentData[[#This Row],[Assignments_Completed]]*2+StudentData[[#This Row],[Class_Participation]]*2+StudentData[[#This Row],[Projects_Submitted]]*4</f>
        <v>55.82</v>
      </c>
      <c r="M786">
        <f>StudentData[[#This Row],[Academic_Score]]*60%+StudentData[[#This Row],[Engagement_Score]]*30%+MIN(StudentData[[#This Row],[Study_Hours_per_Week]],20)/20*100*10%</f>
        <v>39.845599999999997</v>
      </c>
      <c r="N786" s="3" t="str" cm="1">
        <f t="array" ref="N78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86" s="3" t="str">
        <f t="shared" si="24"/>
        <v>High Risk</v>
      </c>
      <c r="P786" s="3" t="str">
        <f t="shared" si="25"/>
        <v>18-20</v>
      </c>
    </row>
    <row r="787" spans="1:16">
      <c r="A787" t="s">
        <v>821</v>
      </c>
      <c r="B787">
        <v>18</v>
      </c>
      <c r="C787" t="s">
        <v>4</v>
      </c>
      <c r="D787">
        <v>63.84</v>
      </c>
      <c r="E787">
        <v>6</v>
      </c>
      <c r="F787">
        <v>6.26</v>
      </c>
      <c r="G787">
        <v>70.09</v>
      </c>
      <c r="H787">
        <v>59.94</v>
      </c>
      <c r="I787">
        <v>15</v>
      </c>
      <c r="J787">
        <v>4</v>
      </c>
      <c r="K787">
        <f>(StudentData[[#This Row],[Midterm_Grade]]*40%)+(StudentData[[#This Row],[Final_Grade]]*60%)</f>
        <v>64</v>
      </c>
      <c r="L787">
        <f>StudentData[[#This Row],[Attendance_Percentage]]*40%+StudentData[[#This Row],[Assignments_Completed]]*2+StudentData[[#This Row],[Class_Participation]]*2+StudentData[[#This Row],[Projects_Submitted]]*4</f>
        <v>66.055999999999997</v>
      </c>
      <c r="M787">
        <f>StudentData[[#This Row],[Academic_Score]]*60%+StudentData[[#This Row],[Engagement_Score]]*30%+MIN(StudentData[[#This Row],[Study_Hours_per_Week]],20)/20*100*10%</f>
        <v>65.716799999999992</v>
      </c>
      <c r="N787" s="3" t="str" cm="1">
        <f t="array" ref="N787">_xlfn.IFS(StudentData[[#This Row],[Success_Score]]&gt;=85,"Exceptional",StudentData[[#This Row],[Success_Score]]&gt;=70,"Strong",StudentData[[#This Row],[Success_Score]]&gt;=55,"Developing",TRUE,"Needs Improvement")</f>
        <v>Developing</v>
      </c>
      <c r="O787" s="3" t="str">
        <f t="shared" si="24"/>
        <v>Medium Risk</v>
      </c>
      <c r="P787" s="3" t="str">
        <f t="shared" si="25"/>
        <v>18-20</v>
      </c>
    </row>
    <row r="788" spans="1:16">
      <c r="A788" t="s">
        <v>822</v>
      </c>
      <c r="B788">
        <v>24</v>
      </c>
      <c r="C788" t="s">
        <v>5</v>
      </c>
      <c r="D788">
        <v>98.58</v>
      </c>
      <c r="E788">
        <v>6</v>
      </c>
      <c r="F788">
        <v>2.87</v>
      </c>
      <c r="G788">
        <v>85.56</v>
      </c>
      <c r="H788">
        <v>34.17</v>
      </c>
      <c r="I788">
        <v>8</v>
      </c>
      <c r="J788">
        <v>3</v>
      </c>
      <c r="K788">
        <f>(StudentData[[#This Row],[Midterm_Grade]]*40%)+(StudentData[[#This Row],[Final_Grade]]*60%)</f>
        <v>54.725999999999999</v>
      </c>
      <c r="L788">
        <f>StudentData[[#This Row],[Attendance_Percentage]]*40%+StudentData[[#This Row],[Assignments_Completed]]*2+StudentData[[#This Row],[Class_Participation]]*2+StudentData[[#This Row],[Projects_Submitted]]*4</f>
        <v>69.171999999999997</v>
      </c>
      <c r="M788">
        <f>StudentData[[#This Row],[Academic_Score]]*60%+StudentData[[#This Row],[Engagement_Score]]*30%+MIN(StudentData[[#This Row],[Study_Hours_per_Week]],20)/20*100*10%</f>
        <v>57.587199999999996</v>
      </c>
      <c r="N788" s="3" t="str" cm="1">
        <f t="array" ref="N788">_xlfn.IFS(StudentData[[#This Row],[Success_Score]]&gt;=85,"Exceptional",StudentData[[#This Row],[Success_Score]]&gt;=70,"Strong",StudentData[[#This Row],[Success_Score]]&gt;=55,"Developing",TRUE,"Needs Improvement")</f>
        <v>Developing</v>
      </c>
      <c r="O788" s="3" t="str">
        <f t="shared" si="24"/>
        <v>Medium Risk</v>
      </c>
      <c r="P788" s="3" t="str">
        <f t="shared" si="25"/>
        <v>24-25</v>
      </c>
    </row>
    <row r="789" spans="1:16">
      <c r="A789" t="s">
        <v>823</v>
      </c>
      <c r="B789">
        <v>25</v>
      </c>
      <c r="C789" t="s">
        <v>5</v>
      </c>
      <c r="D789">
        <v>66.569999999999993</v>
      </c>
      <c r="E789">
        <v>10</v>
      </c>
      <c r="F789">
        <v>2.8</v>
      </c>
      <c r="G789">
        <v>41.83</v>
      </c>
      <c r="H789">
        <v>95.33</v>
      </c>
      <c r="I789">
        <v>1</v>
      </c>
      <c r="J789">
        <v>3</v>
      </c>
      <c r="K789">
        <f>(StudentData[[#This Row],[Midterm_Grade]]*40%)+(StudentData[[#This Row],[Final_Grade]]*60%)</f>
        <v>73.930000000000007</v>
      </c>
      <c r="L789">
        <f>StudentData[[#This Row],[Attendance_Percentage]]*40%+StudentData[[#This Row],[Assignments_Completed]]*2+StudentData[[#This Row],[Class_Participation]]*2+StudentData[[#This Row],[Projects_Submitted]]*4</f>
        <v>64.228000000000009</v>
      </c>
      <c r="M789">
        <f>StudentData[[#This Row],[Academic_Score]]*60%+StudentData[[#This Row],[Engagement_Score]]*30%+MIN(StudentData[[#This Row],[Study_Hours_per_Week]],20)/20*100*10%</f>
        <v>64.126400000000004</v>
      </c>
      <c r="N789" s="3" t="str" cm="1">
        <f t="array" ref="N789">_xlfn.IFS(StudentData[[#This Row],[Success_Score]]&gt;=85,"Exceptional",StudentData[[#This Row],[Success_Score]]&gt;=70,"Strong",StudentData[[#This Row],[Success_Score]]&gt;=55,"Developing",TRUE,"Needs Improvement")</f>
        <v>Developing</v>
      </c>
      <c r="O789" s="3" t="str">
        <f t="shared" si="24"/>
        <v>Medium Risk</v>
      </c>
      <c r="P789" s="3" t="str">
        <f t="shared" si="25"/>
        <v>24-25</v>
      </c>
    </row>
    <row r="790" spans="1:16">
      <c r="A790" t="s">
        <v>824</v>
      </c>
      <c r="B790">
        <v>25</v>
      </c>
      <c r="C790" t="s">
        <v>5</v>
      </c>
      <c r="D790">
        <v>74.099999999999994</v>
      </c>
      <c r="E790">
        <v>5</v>
      </c>
      <c r="F790">
        <v>3.32</v>
      </c>
      <c r="G790">
        <v>30.94</v>
      </c>
      <c r="H790">
        <v>90.32</v>
      </c>
      <c r="I790">
        <v>4</v>
      </c>
      <c r="J790">
        <v>1</v>
      </c>
      <c r="K790">
        <f>(StudentData[[#This Row],[Midterm_Grade]]*40%)+(StudentData[[#This Row],[Final_Grade]]*60%)</f>
        <v>66.567999999999998</v>
      </c>
      <c r="L790">
        <f>StudentData[[#This Row],[Attendance_Percentage]]*40%+StudentData[[#This Row],[Assignments_Completed]]*2+StudentData[[#This Row],[Class_Participation]]*2+StudentData[[#This Row],[Projects_Submitted]]*4</f>
        <v>50.28</v>
      </c>
      <c r="M790">
        <f>StudentData[[#This Row],[Academic_Score]]*60%+StudentData[[#This Row],[Engagement_Score]]*30%+MIN(StudentData[[#This Row],[Study_Hours_per_Week]],20)/20*100*10%</f>
        <v>57.024799999999999</v>
      </c>
      <c r="N790" s="3" t="str" cm="1">
        <f t="array" ref="N790">_xlfn.IFS(StudentData[[#This Row],[Success_Score]]&gt;=85,"Exceptional",StudentData[[#This Row],[Success_Score]]&gt;=70,"Strong",StudentData[[#This Row],[Success_Score]]&gt;=55,"Developing",TRUE,"Needs Improvement")</f>
        <v>Developing</v>
      </c>
      <c r="O790" s="3" t="str">
        <f t="shared" si="24"/>
        <v>Low Risk</v>
      </c>
      <c r="P790" s="3" t="str">
        <f t="shared" si="25"/>
        <v>24-25</v>
      </c>
    </row>
    <row r="791" spans="1:16">
      <c r="A791" t="s">
        <v>825</v>
      </c>
      <c r="B791">
        <v>24</v>
      </c>
      <c r="C791" t="s">
        <v>5</v>
      </c>
      <c r="D791">
        <v>59.8</v>
      </c>
      <c r="E791">
        <v>3</v>
      </c>
      <c r="F791">
        <v>6.63</v>
      </c>
      <c r="G791">
        <v>93.67</v>
      </c>
      <c r="H791">
        <v>71.37</v>
      </c>
      <c r="I791">
        <v>0</v>
      </c>
      <c r="J791">
        <v>4</v>
      </c>
      <c r="K791">
        <f>(StudentData[[#This Row],[Midterm_Grade]]*40%)+(StudentData[[#This Row],[Final_Grade]]*60%)</f>
        <v>80.290000000000006</v>
      </c>
      <c r="L791">
        <f>StudentData[[#This Row],[Attendance_Percentage]]*40%+StudentData[[#This Row],[Assignments_Completed]]*2+StudentData[[#This Row],[Class_Participation]]*2+StudentData[[#This Row],[Projects_Submitted]]*4</f>
        <v>59.18</v>
      </c>
      <c r="M791">
        <f>StudentData[[#This Row],[Academic_Score]]*60%+StudentData[[#This Row],[Engagement_Score]]*30%+MIN(StudentData[[#This Row],[Study_Hours_per_Week]],20)/20*100*10%</f>
        <v>65.927999999999997</v>
      </c>
      <c r="N791" s="3" t="str" cm="1">
        <f t="array" ref="N791">_xlfn.IFS(StudentData[[#This Row],[Success_Score]]&gt;=85,"Exceptional",StudentData[[#This Row],[Success_Score]]&gt;=70,"Strong",StudentData[[#This Row],[Success_Score]]&gt;=55,"Developing",TRUE,"Needs Improvement")</f>
        <v>Developing</v>
      </c>
      <c r="O791" s="3" t="str">
        <f t="shared" si="24"/>
        <v>Medium Risk</v>
      </c>
      <c r="P791" s="3" t="str">
        <f t="shared" si="25"/>
        <v>24-25</v>
      </c>
    </row>
    <row r="792" spans="1:16">
      <c r="A792" t="s">
        <v>826</v>
      </c>
      <c r="B792">
        <v>23</v>
      </c>
      <c r="C792" t="s">
        <v>5</v>
      </c>
      <c r="D792">
        <v>80.540000000000006</v>
      </c>
      <c r="E792">
        <v>10</v>
      </c>
      <c r="F792">
        <v>8.7100000000000009</v>
      </c>
      <c r="G792">
        <v>51.57</v>
      </c>
      <c r="H792">
        <v>81.81</v>
      </c>
      <c r="I792">
        <v>3</v>
      </c>
      <c r="J792">
        <v>0</v>
      </c>
      <c r="K792">
        <f>(StudentData[[#This Row],[Midterm_Grade]]*40%)+(StudentData[[#This Row],[Final_Grade]]*60%)</f>
        <v>69.713999999999999</v>
      </c>
      <c r="L792">
        <f>StudentData[[#This Row],[Attendance_Percentage]]*40%+StudentData[[#This Row],[Assignments_Completed]]*2+StudentData[[#This Row],[Class_Participation]]*2+StudentData[[#This Row],[Projects_Submitted]]*4</f>
        <v>69.635999999999996</v>
      </c>
      <c r="M792">
        <f>StudentData[[#This Row],[Academic_Score]]*60%+StudentData[[#This Row],[Engagement_Score]]*30%+MIN(StudentData[[#This Row],[Study_Hours_per_Week]],20)/20*100*10%</f>
        <v>64.219200000000001</v>
      </c>
      <c r="N792" s="3" t="str" cm="1">
        <f t="array" ref="N792">_xlfn.IFS(StudentData[[#This Row],[Success_Score]]&gt;=85,"Exceptional",StudentData[[#This Row],[Success_Score]]&gt;=70,"Strong",StudentData[[#This Row],[Success_Score]]&gt;=55,"Developing",TRUE,"Needs Improvement")</f>
        <v>Developing</v>
      </c>
      <c r="O792" s="3" t="str">
        <f t="shared" si="24"/>
        <v>Low Risk</v>
      </c>
      <c r="P792" s="3" t="str">
        <f t="shared" si="25"/>
        <v>21-23</v>
      </c>
    </row>
    <row r="793" spans="1:16">
      <c r="A793" t="s">
        <v>827</v>
      </c>
      <c r="B793">
        <v>25</v>
      </c>
      <c r="C793" t="s">
        <v>5</v>
      </c>
      <c r="D793">
        <v>64.03</v>
      </c>
      <c r="E793">
        <v>8</v>
      </c>
      <c r="F793">
        <v>7.59</v>
      </c>
      <c r="G793">
        <v>49.73</v>
      </c>
      <c r="H793">
        <v>66.73</v>
      </c>
      <c r="I793">
        <v>3</v>
      </c>
      <c r="J793">
        <v>0</v>
      </c>
      <c r="K793">
        <f>(StudentData[[#This Row],[Midterm_Grade]]*40%)+(StudentData[[#This Row],[Final_Grade]]*60%)</f>
        <v>59.930000000000007</v>
      </c>
      <c r="L793">
        <f>StudentData[[#This Row],[Attendance_Percentage]]*40%+StudentData[[#This Row],[Assignments_Completed]]*2+StudentData[[#This Row],[Class_Participation]]*2+StudentData[[#This Row],[Projects_Submitted]]*4</f>
        <v>56.792000000000002</v>
      </c>
      <c r="M793">
        <f>StudentData[[#This Row],[Academic_Score]]*60%+StudentData[[#This Row],[Engagement_Score]]*30%+MIN(StudentData[[#This Row],[Study_Hours_per_Week]],20)/20*100*10%</f>
        <v>54.49560000000001</v>
      </c>
      <c r="N793" s="3" t="str" cm="1">
        <f t="array" ref="N79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93" s="3" t="str">
        <f t="shared" si="24"/>
        <v>Medium Risk</v>
      </c>
      <c r="P793" s="3" t="str">
        <f t="shared" si="25"/>
        <v>24-25</v>
      </c>
    </row>
    <row r="794" spans="1:16">
      <c r="A794" t="s">
        <v>828</v>
      </c>
      <c r="B794">
        <v>22</v>
      </c>
      <c r="C794" t="s">
        <v>4</v>
      </c>
      <c r="D794">
        <v>60.35</v>
      </c>
      <c r="E794">
        <v>5</v>
      </c>
      <c r="F794">
        <v>7.28</v>
      </c>
      <c r="G794">
        <v>17.84</v>
      </c>
      <c r="H794">
        <v>12.56</v>
      </c>
      <c r="I794">
        <v>2</v>
      </c>
      <c r="J794">
        <v>4</v>
      </c>
      <c r="K794">
        <f>(StudentData[[#This Row],[Midterm_Grade]]*40%)+(StudentData[[#This Row],[Final_Grade]]*60%)</f>
        <v>14.672000000000001</v>
      </c>
      <c r="L794">
        <f>StudentData[[#This Row],[Attendance_Percentage]]*40%+StudentData[[#This Row],[Assignments_Completed]]*2+StudentData[[#This Row],[Class_Participation]]*2+StudentData[[#This Row],[Projects_Submitted]]*4</f>
        <v>64.7</v>
      </c>
      <c r="M794">
        <f>StudentData[[#This Row],[Academic_Score]]*60%+StudentData[[#This Row],[Engagement_Score]]*30%+MIN(StudentData[[#This Row],[Study_Hours_per_Week]],20)/20*100*10%</f>
        <v>29.213200000000001</v>
      </c>
      <c r="N794" s="3" t="str" cm="1">
        <f t="array" ref="N79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94" s="3" t="str">
        <f t="shared" si="24"/>
        <v>Medium Risk</v>
      </c>
      <c r="P794" s="3" t="str">
        <f t="shared" si="25"/>
        <v>21-23</v>
      </c>
    </row>
    <row r="795" spans="1:16">
      <c r="A795" t="s">
        <v>829</v>
      </c>
      <c r="B795">
        <v>21</v>
      </c>
      <c r="C795" t="s">
        <v>4</v>
      </c>
      <c r="D795">
        <v>75.83</v>
      </c>
      <c r="E795">
        <v>3</v>
      </c>
      <c r="F795">
        <v>4.84</v>
      </c>
      <c r="G795">
        <v>10.82</v>
      </c>
      <c r="H795">
        <v>76.55</v>
      </c>
      <c r="I795">
        <v>8</v>
      </c>
      <c r="J795">
        <v>5</v>
      </c>
      <c r="K795">
        <f>(StudentData[[#This Row],[Midterm_Grade]]*40%)+(StudentData[[#This Row],[Final_Grade]]*60%)</f>
        <v>50.258000000000003</v>
      </c>
      <c r="L795">
        <f>StudentData[[#This Row],[Attendance_Percentage]]*40%+StudentData[[#This Row],[Assignments_Completed]]*2+StudentData[[#This Row],[Class_Participation]]*2+StudentData[[#This Row],[Projects_Submitted]]*4</f>
        <v>66.012</v>
      </c>
      <c r="M795">
        <f>StudentData[[#This Row],[Academic_Score]]*60%+StudentData[[#This Row],[Engagement_Score]]*30%+MIN(StudentData[[#This Row],[Study_Hours_per_Week]],20)/20*100*10%</f>
        <v>53.958399999999997</v>
      </c>
      <c r="N795" s="3" t="str" cm="1">
        <f t="array" ref="N79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95" s="3" t="str">
        <f t="shared" si="24"/>
        <v>Medium Risk</v>
      </c>
      <c r="P795" s="3" t="str">
        <f t="shared" si="25"/>
        <v>21-23</v>
      </c>
    </row>
    <row r="796" spans="1:16">
      <c r="A796" t="s">
        <v>830</v>
      </c>
      <c r="B796">
        <v>18</v>
      </c>
      <c r="C796" t="s">
        <v>4</v>
      </c>
      <c r="D796">
        <v>50.28</v>
      </c>
      <c r="E796">
        <v>2</v>
      </c>
      <c r="F796">
        <v>6.94</v>
      </c>
      <c r="G796">
        <v>84.21</v>
      </c>
      <c r="H796">
        <v>21.02</v>
      </c>
      <c r="I796">
        <v>11</v>
      </c>
      <c r="J796">
        <v>1</v>
      </c>
      <c r="K796">
        <f>(StudentData[[#This Row],[Midterm_Grade]]*40%)+(StudentData[[#This Row],[Final_Grade]]*60%)</f>
        <v>46.295999999999999</v>
      </c>
      <c r="L796">
        <f>StudentData[[#This Row],[Attendance_Percentage]]*40%+StudentData[[#This Row],[Assignments_Completed]]*2+StudentData[[#This Row],[Class_Participation]]*2+StudentData[[#This Row],[Projects_Submitted]]*4</f>
        <v>41.992000000000004</v>
      </c>
      <c r="M796">
        <f>StudentData[[#This Row],[Academic_Score]]*60%+StudentData[[#This Row],[Engagement_Score]]*30%+MIN(StudentData[[#This Row],[Study_Hours_per_Week]],20)/20*100*10%</f>
        <v>45.8752</v>
      </c>
      <c r="N796" s="3" t="str" cm="1">
        <f t="array" ref="N79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96" s="3" t="str">
        <f t="shared" si="24"/>
        <v>High Risk</v>
      </c>
      <c r="P796" s="3" t="str">
        <f t="shared" si="25"/>
        <v>18-20</v>
      </c>
    </row>
    <row r="797" spans="1:16">
      <c r="A797" t="s">
        <v>831</v>
      </c>
      <c r="B797">
        <v>24</v>
      </c>
      <c r="C797" t="s">
        <v>5</v>
      </c>
      <c r="D797">
        <v>50.38</v>
      </c>
      <c r="E797">
        <v>3</v>
      </c>
      <c r="F797">
        <v>5.53</v>
      </c>
      <c r="G797">
        <v>61.41</v>
      </c>
      <c r="H797">
        <v>32.340000000000003</v>
      </c>
      <c r="I797">
        <v>9</v>
      </c>
      <c r="J797">
        <v>1</v>
      </c>
      <c r="K797">
        <f>(StudentData[[#This Row],[Midterm_Grade]]*40%)+(StudentData[[#This Row],[Final_Grade]]*60%)</f>
        <v>43.968000000000004</v>
      </c>
      <c r="L797">
        <f>StudentData[[#This Row],[Attendance_Percentage]]*40%+StudentData[[#This Row],[Assignments_Completed]]*2+StudentData[[#This Row],[Class_Participation]]*2+StudentData[[#This Row],[Projects_Submitted]]*4</f>
        <v>41.212000000000003</v>
      </c>
      <c r="M797">
        <f>StudentData[[#This Row],[Academic_Score]]*60%+StudentData[[#This Row],[Engagement_Score]]*30%+MIN(StudentData[[#This Row],[Study_Hours_per_Week]],20)/20*100*10%</f>
        <v>43.244399999999999</v>
      </c>
      <c r="N797" s="3" t="str" cm="1">
        <f t="array" ref="N79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97" s="3" t="str">
        <f t="shared" si="24"/>
        <v>High Risk</v>
      </c>
      <c r="P797" s="3" t="str">
        <f t="shared" si="25"/>
        <v>24-25</v>
      </c>
    </row>
    <row r="798" spans="1:16">
      <c r="A798" t="s">
        <v>832</v>
      </c>
      <c r="B798">
        <v>22</v>
      </c>
      <c r="C798" t="s">
        <v>5</v>
      </c>
      <c r="D798">
        <v>60.95</v>
      </c>
      <c r="E798">
        <v>2</v>
      </c>
      <c r="F798">
        <v>2.16</v>
      </c>
      <c r="G798">
        <v>32.58</v>
      </c>
      <c r="H798">
        <v>81.92</v>
      </c>
      <c r="I798">
        <v>1</v>
      </c>
      <c r="J798">
        <v>1</v>
      </c>
      <c r="K798">
        <f>(StudentData[[#This Row],[Midterm_Grade]]*40%)+(StudentData[[#This Row],[Final_Grade]]*60%)</f>
        <v>62.183999999999997</v>
      </c>
      <c r="L798">
        <f>StudentData[[#This Row],[Attendance_Percentage]]*40%+StudentData[[#This Row],[Assignments_Completed]]*2+StudentData[[#This Row],[Class_Participation]]*2+StudentData[[#This Row],[Projects_Submitted]]*4</f>
        <v>36.700000000000003</v>
      </c>
      <c r="M798">
        <f>StudentData[[#This Row],[Academic_Score]]*60%+StudentData[[#This Row],[Engagement_Score]]*30%+MIN(StudentData[[#This Row],[Study_Hours_per_Week]],20)/20*100*10%</f>
        <v>48.820399999999992</v>
      </c>
      <c r="N798" s="3" t="str" cm="1">
        <f t="array" ref="N79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98" s="3" t="str">
        <f t="shared" si="24"/>
        <v>Medium Risk</v>
      </c>
      <c r="P798" s="3" t="str">
        <f t="shared" si="25"/>
        <v>21-23</v>
      </c>
    </row>
    <row r="799" spans="1:16">
      <c r="A799" t="s">
        <v>833</v>
      </c>
      <c r="B799">
        <v>24</v>
      </c>
      <c r="C799" t="s">
        <v>5</v>
      </c>
      <c r="D799">
        <v>51.84</v>
      </c>
      <c r="E799">
        <v>1</v>
      </c>
      <c r="F799">
        <v>2.09</v>
      </c>
      <c r="G799">
        <v>19.170000000000002</v>
      </c>
      <c r="H799">
        <v>53.65</v>
      </c>
      <c r="I799">
        <v>10</v>
      </c>
      <c r="J799">
        <v>0</v>
      </c>
      <c r="K799">
        <f>(StudentData[[#This Row],[Midterm_Grade]]*40%)+(StudentData[[#This Row],[Final_Grade]]*60%)</f>
        <v>39.857999999999997</v>
      </c>
      <c r="L799">
        <f>StudentData[[#This Row],[Attendance_Percentage]]*40%+StudentData[[#This Row],[Assignments_Completed]]*2+StudentData[[#This Row],[Class_Participation]]*2+StudentData[[#This Row],[Projects_Submitted]]*4</f>
        <v>26.916000000000004</v>
      </c>
      <c r="M799">
        <f>StudentData[[#This Row],[Academic_Score]]*60%+StudentData[[#This Row],[Engagement_Score]]*30%+MIN(StudentData[[#This Row],[Study_Hours_per_Week]],20)/20*100*10%</f>
        <v>36.989599999999996</v>
      </c>
      <c r="N799" s="3" t="str" cm="1">
        <f t="array" ref="N79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799" s="3" t="str">
        <f t="shared" si="24"/>
        <v>High Risk</v>
      </c>
      <c r="P799" s="3" t="str">
        <f t="shared" si="25"/>
        <v>24-25</v>
      </c>
    </row>
    <row r="800" spans="1:16">
      <c r="A800" t="s">
        <v>834</v>
      </c>
      <c r="B800">
        <v>18</v>
      </c>
      <c r="C800" t="s">
        <v>4</v>
      </c>
      <c r="D800">
        <v>55.4</v>
      </c>
      <c r="E800">
        <v>4</v>
      </c>
      <c r="F800">
        <v>2.96</v>
      </c>
      <c r="G800">
        <v>55.55</v>
      </c>
      <c r="H800">
        <v>85.99</v>
      </c>
      <c r="I800">
        <v>9</v>
      </c>
      <c r="J800">
        <v>3</v>
      </c>
      <c r="K800">
        <f>(StudentData[[#This Row],[Midterm_Grade]]*40%)+(StudentData[[#This Row],[Final_Grade]]*60%)</f>
        <v>73.813999999999993</v>
      </c>
      <c r="L800">
        <f>StudentData[[#This Row],[Attendance_Percentage]]*40%+StudentData[[#This Row],[Assignments_Completed]]*2+StudentData[[#This Row],[Class_Participation]]*2+StudentData[[#This Row],[Projects_Submitted]]*4</f>
        <v>48.08</v>
      </c>
      <c r="M800">
        <f>StudentData[[#This Row],[Academic_Score]]*60%+StudentData[[#This Row],[Engagement_Score]]*30%+MIN(StudentData[[#This Row],[Study_Hours_per_Week]],20)/20*100*10%</f>
        <v>63.212399999999995</v>
      </c>
      <c r="N800" s="3" t="str" cm="1">
        <f t="array" ref="N800">_xlfn.IFS(StudentData[[#This Row],[Success_Score]]&gt;=85,"Exceptional",StudentData[[#This Row],[Success_Score]]&gt;=70,"Strong",StudentData[[#This Row],[Success_Score]]&gt;=55,"Developing",TRUE,"Needs Improvement")</f>
        <v>Developing</v>
      </c>
      <c r="O800" s="3" t="str">
        <f t="shared" si="24"/>
        <v>Medium Risk</v>
      </c>
      <c r="P800" s="3" t="str">
        <f t="shared" si="25"/>
        <v>18-20</v>
      </c>
    </row>
    <row r="801" spans="1:16">
      <c r="A801" t="s">
        <v>835</v>
      </c>
      <c r="B801">
        <v>20</v>
      </c>
      <c r="C801" t="s">
        <v>4</v>
      </c>
      <c r="D801">
        <v>66.94</v>
      </c>
      <c r="E801">
        <v>1</v>
      </c>
      <c r="F801">
        <v>9.11</v>
      </c>
      <c r="G801">
        <v>58.39</v>
      </c>
      <c r="H801">
        <v>21.3</v>
      </c>
      <c r="I801">
        <v>5</v>
      </c>
      <c r="J801">
        <v>5</v>
      </c>
      <c r="K801">
        <f>(StudentData[[#This Row],[Midterm_Grade]]*40%)+(StudentData[[#This Row],[Final_Grade]]*60%)</f>
        <v>36.136000000000003</v>
      </c>
      <c r="L801">
        <f>StudentData[[#This Row],[Attendance_Percentage]]*40%+StudentData[[#This Row],[Assignments_Completed]]*2+StudentData[[#This Row],[Class_Participation]]*2+StudentData[[#This Row],[Projects_Submitted]]*4</f>
        <v>66.995999999999995</v>
      </c>
      <c r="M801">
        <f>StudentData[[#This Row],[Academic_Score]]*60%+StudentData[[#This Row],[Engagement_Score]]*30%+MIN(StudentData[[#This Row],[Study_Hours_per_Week]],20)/20*100*10%</f>
        <v>44.2804</v>
      </c>
      <c r="N801" s="3" t="str" cm="1">
        <f t="array" ref="N80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01" s="3" t="str">
        <f t="shared" si="24"/>
        <v>Medium Risk</v>
      </c>
      <c r="P801" s="3" t="str">
        <f t="shared" si="25"/>
        <v>18-20</v>
      </c>
    </row>
    <row r="802" spans="1:16">
      <c r="A802" t="s">
        <v>836</v>
      </c>
      <c r="B802">
        <v>18</v>
      </c>
      <c r="C802" t="s">
        <v>5</v>
      </c>
      <c r="D802">
        <v>90.13</v>
      </c>
      <c r="E802">
        <v>5</v>
      </c>
      <c r="F802">
        <v>5.47</v>
      </c>
      <c r="G802">
        <v>20.7</v>
      </c>
      <c r="H802">
        <v>60.78</v>
      </c>
      <c r="I802">
        <v>17</v>
      </c>
      <c r="J802">
        <v>1</v>
      </c>
      <c r="K802">
        <f>(StudentData[[#This Row],[Midterm_Grade]]*40%)+(StudentData[[#This Row],[Final_Grade]]*60%)</f>
        <v>44.747999999999998</v>
      </c>
      <c r="L802">
        <f>StudentData[[#This Row],[Attendance_Percentage]]*40%+StudentData[[#This Row],[Assignments_Completed]]*2+StudentData[[#This Row],[Class_Participation]]*2+StudentData[[#This Row],[Projects_Submitted]]*4</f>
        <v>60.991999999999997</v>
      </c>
      <c r="M802">
        <f>StudentData[[#This Row],[Academic_Score]]*60%+StudentData[[#This Row],[Engagement_Score]]*30%+MIN(StudentData[[#This Row],[Study_Hours_per_Week]],20)/20*100*10%</f>
        <v>53.6464</v>
      </c>
      <c r="N802" s="3" t="str" cm="1">
        <f t="array" ref="N80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02" s="3" t="str">
        <f t="shared" si="24"/>
        <v>Medium Risk</v>
      </c>
      <c r="P802" s="3" t="str">
        <f t="shared" si="25"/>
        <v>18-20</v>
      </c>
    </row>
    <row r="803" spans="1:16">
      <c r="A803" t="s">
        <v>837</v>
      </c>
      <c r="B803">
        <v>23</v>
      </c>
      <c r="C803" t="s">
        <v>6</v>
      </c>
      <c r="D803">
        <v>78.599999999999994</v>
      </c>
      <c r="E803">
        <v>2</v>
      </c>
      <c r="F803">
        <v>7.34</v>
      </c>
      <c r="G803">
        <v>85.14</v>
      </c>
      <c r="H803">
        <v>8.3800000000000008</v>
      </c>
      <c r="I803">
        <v>1</v>
      </c>
      <c r="J803">
        <v>0</v>
      </c>
      <c r="K803">
        <f>(StudentData[[#This Row],[Midterm_Grade]]*40%)+(StudentData[[#This Row],[Final_Grade]]*60%)</f>
        <v>39.084000000000003</v>
      </c>
      <c r="L803">
        <f>StudentData[[#This Row],[Attendance_Percentage]]*40%+StudentData[[#This Row],[Assignments_Completed]]*2+StudentData[[#This Row],[Class_Participation]]*2+StudentData[[#This Row],[Projects_Submitted]]*4</f>
        <v>50.12</v>
      </c>
      <c r="M803">
        <f>StudentData[[#This Row],[Academic_Score]]*60%+StudentData[[#This Row],[Engagement_Score]]*30%+MIN(StudentData[[#This Row],[Study_Hours_per_Week]],20)/20*100*10%</f>
        <v>38.986400000000003</v>
      </c>
      <c r="N803" s="3" t="str" cm="1">
        <f t="array" ref="N80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03" s="3" t="str">
        <f t="shared" si="24"/>
        <v>Medium Risk</v>
      </c>
      <c r="P803" s="3" t="str">
        <f t="shared" si="25"/>
        <v>21-23</v>
      </c>
    </row>
    <row r="804" spans="1:16">
      <c r="A804" t="s">
        <v>838</v>
      </c>
      <c r="B804">
        <v>18</v>
      </c>
      <c r="C804" t="s">
        <v>5</v>
      </c>
      <c r="D804">
        <v>75.63</v>
      </c>
      <c r="E804">
        <v>5</v>
      </c>
      <c r="F804">
        <v>3.47</v>
      </c>
      <c r="G804">
        <v>8.43</v>
      </c>
      <c r="H804">
        <v>64.31</v>
      </c>
      <c r="I804">
        <v>1</v>
      </c>
      <c r="J804">
        <v>0</v>
      </c>
      <c r="K804">
        <f>(StudentData[[#This Row],[Midterm_Grade]]*40%)+(StudentData[[#This Row],[Final_Grade]]*60%)</f>
        <v>41.957999999999998</v>
      </c>
      <c r="L804">
        <f>StudentData[[#This Row],[Attendance_Percentage]]*40%+StudentData[[#This Row],[Assignments_Completed]]*2+StudentData[[#This Row],[Class_Participation]]*2+StudentData[[#This Row],[Projects_Submitted]]*4</f>
        <v>47.191999999999993</v>
      </c>
      <c r="M804">
        <f>StudentData[[#This Row],[Academic_Score]]*60%+StudentData[[#This Row],[Engagement_Score]]*30%+MIN(StudentData[[#This Row],[Study_Hours_per_Week]],20)/20*100*10%</f>
        <v>39.832399999999993</v>
      </c>
      <c r="N804" s="3" t="str" cm="1">
        <f t="array" ref="N80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04" s="3" t="str">
        <f t="shared" si="24"/>
        <v>Medium Risk</v>
      </c>
      <c r="P804" s="3" t="str">
        <f t="shared" si="25"/>
        <v>18-20</v>
      </c>
    </row>
    <row r="805" spans="1:16">
      <c r="A805" t="s">
        <v>839</v>
      </c>
      <c r="B805">
        <v>18</v>
      </c>
      <c r="C805" t="s">
        <v>4</v>
      </c>
      <c r="D805">
        <v>64.67</v>
      </c>
      <c r="E805">
        <v>10</v>
      </c>
      <c r="F805">
        <v>4.08</v>
      </c>
      <c r="G805">
        <v>35.61</v>
      </c>
      <c r="H805">
        <v>76.25</v>
      </c>
      <c r="I805">
        <v>9</v>
      </c>
      <c r="J805">
        <v>3</v>
      </c>
      <c r="K805">
        <f>(StudentData[[#This Row],[Midterm_Grade]]*40%)+(StudentData[[#This Row],[Final_Grade]]*60%)</f>
        <v>59.994</v>
      </c>
      <c r="L805">
        <f>StudentData[[#This Row],[Attendance_Percentage]]*40%+StudentData[[#This Row],[Assignments_Completed]]*2+StudentData[[#This Row],[Class_Participation]]*2+StudentData[[#This Row],[Projects_Submitted]]*4</f>
        <v>66.028000000000006</v>
      </c>
      <c r="M805">
        <f>StudentData[[#This Row],[Academic_Score]]*60%+StudentData[[#This Row],[Engagement_Score]]*30%+MIN(StudentData[[#This Row],[Study_Hours_per_Week]],20)/20*100*10%</f>
        <v>60.3048</v>
      </c>
      <c r="N805" s="3" t="str" cm="1">
        <f t="array" ref="N805">_xlfn.IFS(StudentData[[#This Row],[Success_Score]]&gt;=85,"Exceptional",StudentData[[#This Row],[Success_Score]]&gt;=70,"Strong",StudentData[[#This Row],[Success_Score]]&gt;=55,"Developing",TRUE,"Needs Improvement")</f>
        <v>Developing</v>
      </c>
      <c r="O805" s="3" t="str">
        <f t="shared" si="24"/>
        <v>Medium Risk</v>
      </c>
      <c r="P805" s="3" t="str">
        <f t="shared" si="25"/>
        <v>18-20</v>
      </c>
    </row>
    <row r="806" spans="1:16">
      <c r="A806" t="s">
        <v>840</v>
      </c>
      <c r="B806">
        <v>23</v>
      </c>
      <c r="C806" t="s">
        <v>4</v>
      </c>
      <c r="D806">
        <v>96.59</v>
      </c>
      <c r="E806">
        <v>9</v>
      </c>
      <c r="F806">
        <v>1.26</v>
      </c>
      <c r="G806">
        <v>68.040000000000006</v>
      </c>
      <c r="H806">
        <v>58.49</v>
      </c>
      <c r="I806">
        <v>15</v>
      </c>
      <c r="J806">
        <v>4</v>
      </c>
      <c r="K806">
        <f>(StudentData[[#This Row],[Midterm_Grade]]*40%)+(StudentData[[#This Row],[Final_Grade]]*60%)</f>
        <v>62.31</v>
      </c>
      <c r="L806">
        <f>StudentData[[#This Row],[Attendance_Percentage]]*40%+StudentData[[#This Row],[Assignments_Completed]]*2+StudentData[[#This Row],[Class_Participation]]*2+StudentData[[#This Row],[Projects_Submitted]]*4</f>
        <v>75.156000000000006</v>
      </c>
      <c r="M806">
        <f>StudentData[[#This Row],[Academic_Score]]*60%+StudentData[[#This Row],[Engagement_Score]]*30%+MIN(StudentData[[#This Row],[Study_Hours_per_Week]],20)/20*100*10%</f>
        <v>67.4328</v>
      </c>
      <c r="N806" s="3" t="str" cm="1">
        <f t="array" ref="N806">_xlfn.IFS(StudentData[[#This Row],[Success_Score]]&gt;=85,"Exceptional",StudentData[[#This Row],[Success_Score]]&gt;=70,"Strong",StudentData[[#This Row],[Success_Score]]&gt;=55,"Developing",TRUE,"Needs Improvement")</f>
        <v>Developing</v>
      </c>
      <c r="O806" s="3" t="str">
        <f t="shared" si="24"/>
        <v>Low Risk</v>
      </c>
      <c r="P806" s="3" t="str">
        <f t="shared" si="25"/>
        <v>21-23</v>
      </c>
    </row>
    <row r="807" spans="1:16">
      <c r="A807" t="s">
        <v>841</v>
      </c>
      <c r="B807">
        <v>21</v>
      </c>
      <c r="C807" t="s">
        <v>4</v>
      </c>
      <c r="D807">
        <v>69.849999999999994</v>
      </c>
      <c r="E807">
        <v>8</v>
      </c>
      <c r="F807">
        <v>1.71</v>
      </c>
      <c r="G807">
        <v>27.41</v>
      </c>
      <c r="H807">
        <v>26.62</v>
      </c>
      <c r="I807">
        <v>11</v>
      </c>
      <c r="J807">
        <v>4</v>
      </c>
      <c r="K807">
        <f>(StudentData[[#This Row],[Midterm_Grade]]*40%)+(StudentData[[#This Row],[Final_Grade]]*60%)</f>
        <v>26.936</v>
      </c>
      <c r="L807">
        <f>StudentData[[#This Row],[Attendance_Percentage]]*40%+StudentData[[#This Row],[Assignments_Completed]]*2+StudentData[[#This Row],[Class_Participation]]*2+StudentData[[#This Row],[Projects_Submitted]]*4</f>
        <v>63.36</v>
      </c>
      <c r="M807">
        <f>StudentData[[#This Row],[Academic_Score]]*60%+StudentData[[#This Row],[Engagement_Score]]*30%+MIN(StudentData[[#This Row],[Study_Hours_per_Week]],20)/20*100*10%</f>
        <v>40.669600000000003</v>
      </c>
      <c r="N807" s="3" t="str" cm="1">
        <f t="array" ref="N80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07" s="3" t="str">
        <f t="shared" si="24"/>
        <v>Medium Risk</v>
      </c>
      <c r="P807" s="3" t="str">
        <f t="shared" si="25"/>
        <v>21-23</v>
      </c>
    </row>
    <row r="808" spans="1:16">
      <c r="A808" t="s">
        <v>842</v>
      </c>
      <c r="B808">
        <v>25</v>
      </c>
      <c r="C808" t="s">
        <v>4</v>
      </c>
      <c r="D808">
        <v>54.35</v>
      </c>
      <c r="E808">
        <v>0</v>
      </c>
      <c r="F808">
        <v>8.27</v>
      </c>
      <c r="G808">
        <v>82.77</v>
      </c>
      <c r="H808">
        <v>3.13</v>
      </c>
      <c r="I808">
        <v>0</v>
      </c>
      <c r="J808">
        <v>1</v>
      </c>
      <c r="K808">
        <f>(StudentData[[#This Row],[Midterm_Grade]]*40%)+(StudentData[[#This Row],[Final_Grade]]*60%)</f>
        <v>34.985999999999997</v>
      </c>
      <c r="L808">
        <f>StudentData[[#This Row],[Attendance_Percentage]]*40%+StudentData[[#This Row],[Assignments_Completed]]*2+StudentData[[#This Row],[Class_Participation]]*2+StudentData[[#This Row],[Projects_Submitted]]*4</f>
        <v>42.28</v>
      </c>
      <c r="M808">
        <f>StudentData[[#This Row],[Academic_Score]]*60%+StudentData[[#This Row],[Engagement_Score]]*30%+MIN(StudentData[[#This Row],[Study_Hours_per_Week]],20)/20*100*10%</f>
        <v>33.675599999999996</v>
      </c>
      <c r="N808" s="3" t="str" cm="1">
        <f t="array" ref="N80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08" s="3" t="str">
        <f t="shared" si="24"/>
        <v>High Risk</v>
      </c>
      <c r="P808" s="3" t="str">
        <f t="shared" si="25"/>
        <v>24-25</v>
      </c>
    </row>
    <row r="809" spans="1:16">
      <c r="A809" t="s">
        <v>843</v>
      </c>
      <c r="B809">
        <v>18</v>
      </c>
      <c r="C809" t="s">
        <v>4</v>
      </c>
      <c r="D809">
        <v>80.849999999999994</v>
      </c>
      <c r="E809">
        <v>5</v>
      </c>
      <c r="F809">
        <v>5.85</v>
      </c>
      <c r="G809">
        <v>73.989999999999995</v>
      </c>
      <c r="H809">
        <v>11.94</v>
      </c>
      <c r="I809">
        <v>7</v>
      </c>
      <c r="J809">
        <v>1</v>
      </c>
      <c r="K809">
        <f>(StudentData[[#This Row],[Midterm_Grade]]*40%)+(StudentData[[#This Row],[Final_Grade]]*60%)</f>
        <v>36.76</v>
      </c>
      <c r="L809">
        <f>StudentData[[#This Row],[Attendance_Percentage]]*40%+StudentData[[#This Row],[Assignments_Completed]]*2+StudentData[[#This Row],[Class_Participation]]*2+StudentData[[#This Row],[Projects_Submitted]]*4</f>
        <v>58.039999999999992</v>
      </c>
      <c r="M809">
        <f>StudentData[[#This Row],[Academic_Score]]*60%+StudentData[[#This Row],[Engagement_Score]]*30%+MIN(StudentData[[#This Row],[Study_Hours_per_Week]],20)/20*100*10%</f>
        <v>42.967999999999989</v>
      </c>
      <c r="N809" s="3" t="str" cm="1">
        <f t="array" ref="N80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09" s="3" t="str">
        <f t="shared" si="24"/>
        <v>Medium Risk</v>
      </c>
      <c r="P809" s="3" t="str">
        <f t="shared" si="25"/>
        <v>18-20</v>
      </c>
    </row>
    <row r="810" spans="1:16">
      <c r="A810" t="s">
        <v>844</v>
      </c>
      <c r="B810">
        <v>23</v>
      </c>
      <c r="C810" t="s">
        <v>5</v>
      </c>
      <c r="D810">
        <v>55.69</v>
      </c>
      <c r="E810">
        <v>8</v>
      </c>
      <c r="F810">
        <v>3.38</v>
      </c>
      <c r="G810">
        <v>78.900000000000006</v>
      </c>
      <c r="H810">
        <v>62.23</v>
      </c>
      <c r="I810">
        <v>15</v>
      </c>
      <c r="J810">
        <v>5</v>
      </c>
      <c r="K810">
        <f>(StudentData[[#This Row],[Midterm_Grade]]*40%)+(StudentData[[#This Row],[Final_Grade]]*60%)</f>
        <v>68.897999999999996</v>
      </c>
      <c r="L810">
        <f>StudentData[[#This Row],[Attendance_Percentage]]*40%+StudentData[[#This Row],[Assignments_Completed]]*2+StudentData[[#This Row],[Class_Participation]]*2+StudentData[[#This Row],[Projects_Submitted]]*4</f>
        <v>65.036000000000001</v>
      </c>
      <c r="M810">
        <f>StudentData[[#This Row],[Academic_Score]]*60%+StudentData[[#This Row],[Engagement_Score]]*30%+MIN(StudentData[[#This Row],[Study_Hours_per_Week]],20)/20*100*10%</f>
        <v>68.349599999999995</v>
      </c>
      <c r="N810" s="3" t="str" cm="1">
        <f t="array" ref="N810">_xlfn.IFS(StudentData[[#This Row],[Success_Score]]&gt;=85,"Exceptional",StudentData[[#This Row],[Success_Score]]&gt;=70,"Strong",StudentData[[#This Row],[Success_Score]]&gt;=55,"Developing",TRUE,"Needs Improvement")</f>
        <v>Developing</v>
      </c>
      <c r="O810" s="3" t="str">
        <f t="shared" si="24"/>
        <v>Medium Risk</v>
      </c>
      <c r="P810" s="3" t="str">
        <f t="shared" si="25"/>
        <v>21-23</v>
      </c>
    </row>
    <row r="811" spans="1:16">
      <c r="A811" t="s">
        <v>845</v>
      </c>
      <c r="B811">
        <v>22</v>
      </c>
      <c r="C811" t="s">
        <v>4</v>
      </c>
      <c r="D811">
        <v>67.260000000000005</v>
      </c>
      <c r="E811">
        <v>10</v>
      </c>
      <c r="F811">
        <v>8.0299999999999994</v>
      </c>
      <c r="G811">
        <v>11.91</v>
      </c>
      <c r="H811">
        <v>93.44</v>
      </c>
      <c r="I811">
        <v>17</v>
      </c>
      <c r="J811">
        <v>3</v>
      </c>
      <c r="K811">
        <f>(StudentData[[#This Row],[Midterm_Grade]]*40%)+(StudentData[[#This Row],[Final_Grade]]*60%)</f>
        <v>60.828000000000003</v>
      </c>
      <c r="L811">
        <f>StudentData[[#This Row],[Attendance_Percentage]]*40%+StudentData[[#This Row],[Assignments_Completed]]*2+StudentData[[#This Row],[Class_Participation]]*2+StudentData[[#This Row],[Projects_Submitted]]*4</f>
        <v>74.963999999999999</v>
      </c>
      <c r="M811">
        <f>StudentData[[#This Row],[Academic_Score]]*60%+StudentData[[#This Row],[Engagement_Score]]*30%+MIN(StudentData[[#This Row],[Study_Hours_per_Week]],20)/20*100*10%</f>
        <v>67.486000000000004</v>
      </c>
      <c r="N811" s="3" t="str" cm="1">
        <f t="array" ref="N811">_xlfn.IFS(StudentData[[#This Row],[Success_Score]]&gt;=85,"Exceptional",StudentData[[#This Row],[Success_Score]]&gt;=70,"Strong",StudentData[[#This Row],[Success_Score]]&gt;=55,"Developing",TRUE,"Needs Improvement")</f>
        <v>Developing</v>
      </c>
      <c r="O811" s="3" t="str">
        <f t="shared" si="24"/>
        <v>Medium Risk</v>
      </c>
      <c r="P811" s="3" t="str">
        <f t="shared" si="25"/>
        <v>21-23</v>
      </c>
    </row>
    <row r="812" spans="1:16">
      <c r="A812" t="s">
        <v>846</v>
      </c>
      <c r="B812">
        <v>20</v>
      </c>
      <c r="C812" t="s">
        <v>5</v>
      </c>
      <c r="D812">
        <v>75.37</v>
      </c>
      <c r="E812">
        <v>3</v>
      </c>
      <c r="F812">
        <v>2.4700000000000002</v>
      </c>
      <c r="G812">
        <v>14.05</v>
      </c>
      <c r="H812">
        <v>20.65</v>
      </c>
      <c r="I812">
        <v>12</v>
      </c>
      <c r="J812">
        <v>1</v>
      </c>
      <c r="K812">
        <f>(StudentData[[#This Row],[Midterm_Grade]]*40%)+(StudentData[[#This Row],[Final_Grade]]*60%)</f>
        <v>18.009999999999998</v>
      </c>
      <c r="L812">
        <f>StudentData[[#This Row],[Attendance_Percentage]]*40%+StudentData[[#This Row],[Assignments_Completed]]*2+StudentData[[#This Row],[Class_Participation]]*2+StudentData[[#This Row],[Projects_Submitted]]*4</f>
        <v>45.088000000000001</v>
      </c>
      <c r="M812">
        <f>StudentData[[#This Row],[Academic_Score]]*60%+StudentData[[#This Row],[Engagement_Score]]*30%+MIN(StudentData[[#This Row],[Study_Hours_per_Week]],20)/20*100*10%</f>
        <v>30.3324</v>
      </c>
      <c r="N812" s="3" t="str" cm="1">
        <f t="array" ref="N81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12" s="3" t="str">
        <f t="shared" si="24"/>
        <v>Medium Risk</v>
      </c>
      <c r="P812" s="3" t="str">
        <f t="shared" si="25"/>
        <v>18-20</v>
      </c>
    </row>
    <row r="813" spans="1:16">
      <c r="A813" t="s">
        <v>847</v>
      </c>
      <c r="B813">
        <v>20</v>
      </c>
      <c r="C813" t="s">
        <v>4</v>
      </c>
      <c r="D813">
        <v>93.71</v>
      </c>
      <c r="E813">
        <v>10</v>
      </c>
      <c r="F813">
        <v>9.76</v>
      </c>
      <c r="G813">
        <v>28.65</v>
      </c>
      <c r="H813">
        <v>73.5</v>
      </c>
      <c r="I813">
        <v>14</v>
      </c>
      <c r="J813">
        <v>3</v>
      </c>
      <c r="K813">
        <f>(StudentData[[#This Row],[Midterm_Grade]]*40%)+(StudentData[[#This Row],[Final_Grade]]*60%)</f>
        <v>55.56</v>
      </c>
      <c r="L813">
        <f>StudentData[[#This Row],[Attendance_Percentage]]*40%+StudentData[[#This Row],[Assignments_Completed]]*2+StudentData[[#This Row],[Class_Participation]]*2+StudentData[[#This Row],[Projects_Submitted]]*4</f>
        <v>89.004000000000005</v>
      </c>
      <c r="M813">
        <f>StudentData[[#This Row],[Academic_Score]]*60%+StudentData[[#This Row],[Engagement_Score]]*30%+MIN(StudentData[[#This Row],[Study_Hours_per_Week]],20)/20*100*10%</f>
        <v>67.037199999999999</v>
      </c>
      <c r="N813" s="3" t="str" cm="1">
        <f t="array" ref="N813">_xlfn.IFS(StudentData[[#This Row],[Success_Score]]&gt;=85,"Exceptional",StudentData[[#This Row],[Success_Score]]&gt;=70,"Strong",StudentData[[#This Row],[Success_Score]]&gt;=55,"Developing",TRUE,"Needs Improvement")</f>
        <v>Developing</v>
      </c>
      <c r="O813" s="3" t="str">
        <f t="shared" si="24"/>
        <v>Medium Risk</v>
      </c>
      <c r="P813" s="3" t="str">
        <f t="shared" si="25"/>
        <v>18-20</v>
      </c>
    </row>
    <row r="814" spans="1:16">
      <c r="A814" t="s">
        <v>848</v>
      </c>
      <c r="B814">
        <v>18</v>
      </c>
      <c r="C814" t="s">
        <v>4</v>
      </c>
      <c r="D814">
        <v>74.680000000000007</v>
      </c>
      <c r="E814">
        <v>1</v>
      </c>
      <c r="F814">
        <v>3.45</v>
      </c>
      <c r="G814">
        <v>51.81</v>
      </c>
      <c r="H814">
        <v>86.65</v>
      </c>
      <c r="I814">
        <v>11</v>
      </c>
      <c r="J814">
        <v>0</v>
      </c>
      <c r="K814">
        <f>(StudentData[[#This Row],[Midterm_Grade]]*40%)+(StudentData[[#This Row],[Final_Grade]]*60%)</f>
        <v>72.713999999999999</v>
      </c>
      <c r="L814">
        <f>StudentData[[#This Row],[Attendance_Percentage]]*40%+StudentData[[#This Row],[Assignments_Completed]]*2+StudentData[[#This Row],[Class_Participation]]*2+StudentData[[#This Row],[Projects_Submitted]]*4</f>
        <v>38.772000000000006</v>
      </c>
      <c r="M814">
        <f>StudentData[[#This Row],[Academic_Score]]*60%+StudentData[[#This Row],[Engagement_Score]]*30%+MIN(StudentData[[#This Row],[Study_Hours_per_Week]],20)/20*100*10%</f>
        <v>60.76</v>
      </c>
      <c r="N814" s="3" t="str" cm="1">
        <f t="array" ref="N814">_xlfn.IFS(StudentData[[#This Row],[Success_Score]]&gt;=85,"Exceptional",StudentData[[#This Row],[Success_Score]]&gt;=70,"Strong",StudentData[[#This Row],[Success_Score]]&gt;=55,"Developing",TRUE,"Needs Improvement")</f>
        <v>Developing</v>
      </c>
      <c r="O814" s="3" t="str">
        <f t="shared" si="24"/>
        <v>Low Risk</v>
      </c>
      <c r="P814" s="3" t="str">
        <f t="shared" si="25"/>
        <v>18-20</v>
      </c>
    </row>
    <row r="815" spans="1:16">
      <c r="A815" t="s">
        <v>849</v>
      </c>
      <c r="B815">
        <v>21</v>
      </c>
      <c r="C815" t="s">
        <v>4</v>
      </c>
      <c r="D815">
        <v>85.11</v>
      </c>
      <c r="E815">
        <v>3</v>
      </c>
      <c r="F815">
        <v>3.37</v>
      </c>
      <c r="G815">
        <v>74.8</v>
      </c>
      <c r="H815">
        <v>52.09</v>
      </c>
      <c r="I815">
        <v>7</v>
      </c>
      <c r="J815">
        <v>1</v>
      </c>
      <c r="K815">
        <f>(StudentData[[#This Row],[Midterm_Grade]]*40%)+(StudentData[[#This Row],[Final_Grade]]*60%)</f>
        <v>61.174000000000007</v>
      </c>
      <c r="L815">
        <f>StudentData[[#This Row],[Attendance_Percentage]]*40%+StudentData[[#This Row],[Assignments_Completed]]*2+StudentData[[#This Row],[Class_Participation]]*2+StudentData[[#This Row],[Projects_Submitted]]*4</f>
        <v>50.784000000000006</v>
      </c>
      <c r="M815">
        <f>StudentData[[#This Row],[Academic_Score]]*60%+StudentData[[#This Row],[Engagement_Score]]*30%+MIN(StudentData[[#This Row],[Study_Hours_per_Week]],20)/20*100*10%</f>
        <v>55.439599999999999</v>
      </c>
      <c r="N815" s="3" t="str" cm="1">
        <f t="array" ref="N815">_xlfn.IFS(StudentData[[#This Row],[Success_Score]]&gt;=85,"Exceptional",StudentData[[#This Row],[Success_Score]]&gt;=70,"Strong",StudentData[[#This Row],[Success_Score]]&gt;=55,"Developing",TRUE,"Needs Improvement")</f>
        <v>Developing</v>
      </c>
      <c r="O815" s="3" t="str">
        <f t="shared" si="24"/>
        <v>Low Risk</v>
      </c>
      <c r="P815" s="3" t="str">
        <f t="shared" si="25"/>
        <v>21-23</v>
      </c>
    </row>
    <row r="816" spans="1:16">
      <c r="A816" t="s">
        <v>850</v>
      </c>
      <c r="B816">
        <v>21</v>
      </c>
      <c r="C816" t="s">
        <v>4</v>
      </c>
      <c r="D816">
        <v>99.64</v>
      </c>
      <c r="E816">
        <v>0</v>
      </c>
      <c r="F816">
        <v>3.12</v>
      </c>
      <c r="G816">
        <v>83.65</v>
      </c>
      <c r="H816">
        <v>66.930000000000007</v>
      </c>
      <c r="I816">
        <v>9</v>
      </c>
      <c r="J816">
        <v>0</v>
      </c>
      <c r="K816">
        <f>(StudentData[[#This Row],[Midterm_Grade]]*40%)+(StudentData[[#This Row],[Final_Grade]]*60%)</f>
        <v>73.617999999999995</v>
      </c>
      <c r="L816">
        <f>StudentData[[#This Row],[Attendance_Percentage]]*40%+StudentData[[#This Row],[Assignments_Completed]]*2+StudentData[[#This Row],[Class_Participation]]*2+StudentData[[#This Row],[Projects_Submitted]]*4</f>
        <v>46.096000000000004</v>
      </c>
      <c r="M816">
        <f>StudentData[[#This Row],[Academic_Score]]*60%+StudentData[[#This Row],[Engagement_Score]]*30%+MIN(StudentData[[#This Row],[Study_Hours_per_Week]],20)/20*100*10%</f>
        <v>62.499599999999994</v>
      </c>
      <c r="N816" s="3" t="str" cm="1">
        <f t="array" ref="N816">_xlfn.IFS(StudentData[[#This Row],[Success_Score]]&gt;=85,"Exceptional",StudentData[[#This Row],[Success_Score]]&gt;=70,"Strong",StudentData[[#This Row],[Success_Score]]&gt;=55,"Developing",TRUE,"Needs Improvement")</f>
        <v>Developing</v>
      </c>
      <c r="O816" s="3" t="str">
        <f t="shared" si="24"/>
        <v>Low Risk</v>
      </c>
      <c r="P816" s="3" t="str">
        <f t="shared" si="25"/>
        <v>21-23</v>
      </c>
    </row>
    <row r="817" spans="1:16">
      <c r="A817" t="s">
        <v>851</v>
      </c>
      <c r="B817">
        <v>22</v>
      </c>
      <c r="C817" t="s">
        <v>4</v>
      </c>
      <c r="D817">
        <v>56.57</v>
      </c>
      <c r="E817">
        <v>2</v>
      </c>
      <c r="F817">
        <v>1.22</v>
      </c>
      <c r="G817">
        <v>70.430000000000007</v>
      </c>
      <c r="H817">
        <v>81.5</v>
      </c>
      <c r="I817">
        <v>13</v>
      </c>
      <c r="J817">
        <v>2</v>
      </c>
      <c r="K817">
        <f>(StudentData[[#This Row],[Midterm_Grade]]*40%)+(StudentData[[#This Row],[Final_Grade]]*60%)</f>
        <v>77.072000000000003</v>
      </c>
      <c r="L817">
        <f>StudentData[[#This Row],[Attendance_Percentage]]*40%+StudentData[[#This Row],[Assignments_Completed]]*2+StudentData[[#This Row],[Class_Participation]]*2+StudentData[[#This Row],[Projects_Submitted]]*4</f>
        <v>37.067999999999998</v>
      </c>
      <c r="M817">
        <f>StudentData[[#This Row],[Academic_Score]]*60%+StudentData[[#This Row],[Engagement_Score]]*30%+MIN(StudentData[[#This Row],[Study_Hours_per_Week]],20)/20*100*10%</f>
        <v>63.863599999999998</v>
      </c>
      <c r="N817" s="3" t="str" cm="1">
        <f t="array" ref="N817">_xlfn.IFS(StudentData[[#This Row],[Success_Score]]&gt;=85,"Exceptional",StudentData[[#This Row],[Success_Score]]&gt;=70,"Strong",StudentData[[#This Row],[Success_Score]]&gt;=55,"Developing",TRUE,"Needs Improvement")</f>
        <v>Developing</v>
      </c>
      <c r="O817" s="3" t="str">
        <f t="shared" si="24"/>
        <v>Medium Risk</v>
      </c>
      <c r="P817" s="3" t="str">
        <f t="shared" si="25"/>
        <v>21-23</v>
      </c>
    </row>
    <row r="818" spans="1:16">
      <c r="A818" t="s">
        <v>852</v>
      </c>
      <c r="B818">
        <v>18</v>
      </c>
      <c r="C818" t="s">
        <v>4</v>
      </c>
      <c r="D818">
        <v>63.74</v>
      </c>
      <c r="E818">
        <v>9</v>
      </c>
      <c r="F818">
        <v>1.1100000000000001</v>
      </c>
      <c r="G818">
        <v>92.86</v>
      </c>
      <c r="H818">
        <v>26.07</v>
      </c>
      <c r="I818">
        <v>4</v>
      </c>
      <c r="J818">
        <v>3</v>
      </c>
      <c r="K818">
        <f>(StudentData[[#This Row],[Midterm_Grade]]*40%)+(StudentData[[#This Row],[Final_Grade]]*60%)</f>
        <v>52.786000000000001</v>
      </c>
      <c r="L818">
        <f>StudentData[[#This Row],[Attendance_Percentage]]*40%+StudentData[[#This Row],[Assignments_Completed]]*2+StudentData[[#This Row],[Class_Participation]]*2+StudentData[[#This Row],[Projects_Submitted]]*4</f>
        <v>57.716000000000001</v>
      </c>
      <c r="M818">
        <f>StudentData[[#This Row],[Academic_Score]]*60%+StudentData[[#This Row],[Engagement_Score]]*30%+MIN(StudentData[[#This Row],[Study_Hours_per_Week]],20)/20*100*10%</f>
        <v>50.986399999999996</v>
      </c>
      <c r="N818" s="3" t="str" cm="1">
        <f t="array" ref="N81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18" s="3" t="str">
        <f t="shared" si="24"/>
        <v>Medium Risk</v>
      </c>
      <c r="P818" s="3" t="str">
        <f t="shared" si="25"/>
        <v>18-20</v>
      </c>
    </row>
    <row r="819" spans="1:16">
      <c r="A819" t="s">
        <v>853</v>
      </c>
      <c r="B819">
        <v>20</v>
      </c>
      <c r="C819" t="s">
        <v>4</v>
      </c>
      <c r="D819">
        <v>69.73</v>
      </c>
      <c r="E819">
        <v>8</v>
      </c>
      <c r="F819">
        <v>6.48</v>
      </c>
      <c r="G819">
        <v>73.87</v>
      </c>
      <c r="H819">
        <v>29.69</v>
      </c>
      <c r="I819">
        <v>17</v>
      </c>
      <c r="J819">
        <v>2</v>
      </c>
      <c r="K819">
        <f>(StudentData[[#This Row],[Midterm_Grade]]*40%)+(StudentData[[#This Row],[Final_Grade]]*60%)</f>
        <v>47.362000000000002</v>
      </c>
      <c r="L819">
        <f>StudentData[[#This Row],[Attendance_Percentage]]*40%+StudentData[[#This Row],[Assignments_Completed]]*2+StudentData[[#This Row],[Class_Participation]]*2+StudentData[[#This Row],[Projects_Submitted]]*4</f>
        <v>64.852000000000004</v>
      </c>
      <c r="M819">
        <f>StudentData[[#This Row],[Academic_Score]]*60%+StudentData[[#This Row],[Engagement_Score]]*30%+MIN(StudentData[[#This Row],[Study_Hours_per_Week]],20)/20*100*10%</f>
        <v>56.372799999999998</v>
      </c>
      <c r="N819" s="3" t="str" cm="1">
        <f t="array" ref="N819">_xlfn.IFS(StudentData[[#This Row],[Success_Score]]&gt;=85,"Exceptional",StudentData[[#This Row],[Success_Score]]&gt;=70,"Strong",StudentData[[#This Row],[Success_Score]]&gt;=55,"Developing",TRUE,"Needs Improvement")</f>
        <v>Developing</v>
      </c>
      <c r="O819" s="3" t="str">
        <f t="shared" si="24"/>
        <v>Medium Risk</v>
      </c>
      <c r="P819" s="3" t="str">
        <f t="shared" si="25"/>
        <v>18-20</v>
      </c>
    </row>
    <row r="820" spans="1:16">
      <c r="A820" t="s">
        <v>854</v>
      </c>
      <c r="B820">
        <v>21</v>
      </c>
      <c r="C820" t="s">
        <v>5</v>
      </c>
      <c r="D820">
        <v>71.09</v>
      </c>
      <c r="E820">
        <v>9</v>
      </c>
      <c r="F820">
        <v>8.75</v>
      </c>
      <c r="G820">
        <v>30.63</v>
      </c>
      <c r="H820">
        <v>0.06</v>
      </c>
      <c r="I820">
        <v>18</v>
      </c>
      <c r="J820">
        <v>1</v>
      </c>
      <c r="K820">
        <f>(StudentData[[#This Row],[Midterm_Grade]]*40%)+(StudentData[[#This Row],[Final_Grade]]*60%)</f>
        <v>12.288</v>
      </c>
      <c r="L820">
        <f>StudentData[[#This Row],[Attendance_Percentage]]*40%+StudentData[[#This Row],[Assignments_Completed]]*2+StudentData[[#This Row],[Class_Participation]]*2+StudentData[[#This Row],[Projects_Submitted]]*4</f>
        <v>67.936000000000007</v>
      </c>
      <c r="M820">
        <f>StudentData[[#This Row],[Academic_Score]]*60%+StudentData[[#This Row],[Engagement_Score]]*30%+MIN(StudentData[[#This Row],[Study_Hours_per_Week]],20)/20*100*10%</f>
        <v>36.753599999999999</v>
      </c>
      <c r="N820" s="3" t="str" cm="1">
        <f t="array" ref="N82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20" s="3" t="str">
        <f t="shared" si="24"/>
        <v>Medium Risk</v>
      </c>
      <c r="P820" s="3" t="str">
        <f t="shared" si="25"/>
        <v>21-23</v>
      </c>
    </row>
    <row r="821" spans="1:16">
      <c r="A821" t="s">
        <v>855</v>
      </c>
      <c r="B821">
        <v>18</v>
      </c>
      <c r="C821" t="s">
        <v>5</v>
      </c>
      <c r="D821">
        <v>70.55</v>
      </c>
      <c r="E821">
        <v>4</v>
      </c>
      <c r="F821">
        <v>7.91</v>
      </c>
      <c r="G821">
        <v>26.51</v>
      </c>
      <c r="H821">
        <v>96.31</v>
      </c>
      <c r="I821">
        <v>14</v>
      </c>
      <c r="J821">
        <v>0</v>
      </c>
      <c r="K821">
        <f>(StudentData[[#This Row],[Midterm_Grade]]*40%)+(StudentData[[#This Row],[Final_Grade]]*60%)</f>
        <v>68.39</v>
      </c>
      <c r="L821">
        <f>StudentData[[#This Row],[Attendance_Percentage]]*40%+StudentData[[#This Row],[Assignments_Completed]]*2+StudentData[[#This Row],[Class_Participation]]*2+StudentData[[#This Row],[Projects_Submitted]]*4</f>
        <v>52.04</v>
      </c>
      <c r="M821">
        <f>StudentData[[#This Row],[Academic_Score]]*60%+StudentData[[#This Row],[Engagement_Score]]*30%+MIN(StudentData[[#This Row],[Study_Hours_per_Week]],20)/20*100*10%</f>
        <v>63.646000000000001</v>
      </c>
      <c r="N821" s="3" t="str" cm="1">
        <f t="array" ref="N821">_xlfn.IFS(StudentData[[#This Row],[Success_Score]]&gt;=85,"Exceptional",StudentData[[#This Row],[Success_Score]]&gt;=70,"Strong",StudentData[[#This Row],[Success_Score]]&gt;=55,"Developing",TRUE,"Needs Improvement")</f>
        <v>Developing</v>
      </c>
      <c r="O821" s="3" t="str">
        <f t="shared" si="24"/>
        <v>Low Risk</v>
      </c>
      <c r="P821" s="3" t="str">
        <f t="shared" si="25"/>
        <v>18-20</v>
      </c>
    </row>
    <row r="822" spans="1:16">
      <c r="A822" t="s">
        <v>856</v>
      </c>
      <c r="B822">
        <v>24</v>
      </c>
      <c r="C822" t="s">
        <v>5</v>
      </c>
      <c r="D822">
        <v>95.38</v>
      </c>
      <c r="E822">
        <v>10</v>
      </c>
      <c r="F822">
        <v>1.41</v>
      </c>
      <c r="G822">
        <v>69.62</v>
      </c>
      <c r="H822">
        <v>91.75</v>
      </c>
      <c r="I822">
        <v>5</v>
      </c>
      <c r="J822">
        <v>1</v>
      </c>
      <c r="K822">
        <f>(StudentData[[#This Row],[Midterm_Grade]]*40%)+(StudentData[[#This Row],[Final_Grade]]*60%)</f>
        <v>82.897999999999996</v>
      </c>
      <c r="L822">
        <f>StudentData[[#This Row],[Attendance_Percentage]]*40%+StudentData[[#This Row],[Assignments_Completed]]*2+StudentData[[#This Row],[Class_Participation]]*2+StudentData[[#This Row],[Projects_Submitted]]*4</f>
        <v>64.972000000000008</v>
      </c>
      <c r="M822">
        <f>StudentData[[#This Row],[Academic_Score]]*60%+StudentData[[#This Row],[Engagement_Score]]*30%+MIN(StudentData[[#This Row],[Study_Hours_per_Week]],20)/20*100*10%</f>
        <v>71.730400000000003</v>
      </c>
      <c r="N822" s="3" t="str" cm="1">
        <f t="array" ref="N822">_xlfn.IFS(StudentData[[#This Row],[Success_Score]]&gt;=85,"Exceptional",StudentData[[#This Row],[Success_Score]]&gt;=70,"Strong",StudentData[[#This Row],[Success_Score]]&gt;=55,"Developing",TRUE,"Needs Improvement")</f>
        <v>Strong</v>
      </c>
      <c r="O822" s="3" t="str">
        <f t="shared" si="24"/>
        <v>Low Risk</v>
      </c>
      <c r="P822" s="3" t="str">
        <f t="shared" si="25"/>
        <v>24-25</v>
      </c>
    </row>
    <row r="823" spans="1:16">
      <c r="A823" t="s">
        <v>857</v>
      </c>
      <c r="B823">
        <v>21</v>
      </c>
      <c r="C823" t="s">
        <v>5</v>
      </c>
      <c r="D823">
        <v>85.7</v>
      </c>
      <c r="E823">
        <v>5</v>
      </c>
      <c r="F823">
        <v>5.46</v>
      </c>
      <c r="G823">
        <v>19.29</v>
      </c>
      <c r="H823">
        <v>76.459999999999994</v>
      </c>
      <c r="I823">
        <v>10</v>
      </c>
      <c r="J823">
        <v>2</v>
      </c>
      <c r="K823">
        <f>(StudentData[[#This Row],[Midterm_Grade]]*40%)+(StudentData[[#This Row],[Final_Grade]]*60%)</f>
        <v>53.591999999999999</v>
      </c>
      <c r="L823">
        <f>StudentData[[#This Row],[Attendance_Percentage]]*40%+StudentData[[#This Row],[Assignments_Completed]]*2+StudentData[[#This Row],[Class_Participation]]*2+StudentData[[#This Row],[Projects_Submitted]]*4</f>
        <v>63.2</v>
      </c>
      <c r="M823">
        <f>StudentData[[#This Row],[Academic_Score]]*60%+StudentData[[#This Row],[Engagement_Score]]*30%+MIN(StudentData[[#This Row],[Study_Hours_per_Week]],20)/20*100*10%</f>
        <v>56.115200000000002</v>
      </c>
      <c r="N823" s="3" t="str" cm="1">
        <f t="array" ref="N823">_xlfn.IFS(StudentData[[#This Row],[Success_Score]]&gt;=85,"Exceptional",StudentData[[#This Row],[Success_Score]]&gt;=70,"Strong",StudentData[[#This Row],[Success_Score]]&gt;=55,"Developing",TRUE,"Needs Improvement")</f>
        <v>Developing</v>
      </c>
      <c r="O823" s="3" t="str">
        <f t="shared" si="24"/>
        <v>Medium Risk</v>
      </c>
      <c r="P823" s="3" t="str">
        <f t="shared" si="25"/>
        <v>21-23</v>
      </c>
    </row>
    <row r="824" spans="1:16">
      <c r="A824" t="s">
        <v>858</v>
      </c>
      <c r="B824">
        <v>23</v>
      </c>
      <c r="C824" t="s">
        <v>4</v>
      </c>
      <c r="D824">
        <v>80.400000000000006</v>
      </c>
      <c r="E824">
        <v>2</v>
      </c>
      <c r="F824">
        <v>1.06</v>
      </c>
      <c r="G824">
        <v>9.27</v>
      </c>
      <c r="H824">
        <v>7.91</v>
      </c>
      <c r="I824">
        <v>10</v>
      </c>
      <c r="J824">
        <v>1</v>
      </c>
      <c r="K824">
        <f>(StudentData[[#This Row],[Midterm_Grade]]*40%)+(StudentData[[#This Row],[Final_Grade]]*60%)</f>
        <v>8.4540000000000006</v>
      </c>
      <c r="L824">
        <f>StudentData[[#This Row],[Attendance_Percentage]]*40%+StudentData[[#This Row],[Assignments_Completed]]*2+StudentData[[#This Row],[Class_Participation]]*2+StudentData[[#This Row],[Projects_Submitted]]*4</f>
        <v>42.28</v>
      </c>
      <c r="M824">
        <f>StudentData[[#This Row],[Academic_Score]]*60%+StudentData[[#This Row],[Engagement_Score]]*30%+MIN(StudentData[[#This Row],[Study_Hours_per_Week]],20)/20*100*10%</f>
        <v>22.756399999999999</v>
      </c>
      <c r="N824" s="3" t="str" cm="1">
        <f t="array" ref="N82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24" s="3" t="str">
        <f t="shared" si="24"/>
        <v>Medium Risk</v>
      </c>
      <c r="P824" s="3" t="str">
        <f t="shared" si="25"/>
        <v>21-23</v>
      </c>
    </row>
    <row r="825" spans="1:16">
      <c r="A825" t="s">
        <v>859</v>
      </c>
      <c r="B825">
        <v>24</v>
      </c>
      <c r="C825" t="s">
        <v>5</v>
      </c>
      <c r="D825">
        <v>65.47</v>
      </c>
      <c r="E825">
        <v>4</v>
      </c>
      <c r="F825">
        <v>0.45</v>
      </c>
      <c r="G825">
        <v>53.22</v>
      </c>
      <c r="H825">
        <v>44.75</v>
      </c>
      <c r="I825">
        <v>19</v>
      </c>
      <c r="J825">
        <v>5</v>
      </c>
      <c r="K825">
        <f>(StudentData[[#This Row],[Midterm_Grade]]*40%)+(StudentData[[#This Row],[Final_Grade]]*60%)</f>
        <v>48.137999999999998</v>
      </c>
      <c r="L825">
        <f>StudentData[[#This Row],[Attendance_Percentage]]*40%+StudentData[[#This Row],[Assignments_Completed]]*2+StudentData[[#This Row],[Class_Participation]]*2+StudentData[[#This Row],[Projects_Submitted]]*4</f>
        <v>55.088000000000001</v>
      </c>
      <c r="M825">
        <f>StudentData[[#This Row],[Academic_Score]]*60%+StudentData[[#This Row],[Engagement_Score]]*30%+MIN(StudentData[[#This Row],[Study_Hours_per_Week]],20)/20*100*10%</f>
        <v>54.909199999999998</v>
      </c>
      <c r="N825" s="3" t="str" cm="1">
        <f t="array" ref="N82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25" s="3" t="str">
        <f t="shared" si="24"/>
        <v>Medium Risk</v>
      </c>
      <c r="P825" s="3" t="str">
        <f t="shared" si="25"/>
        <v>24-25</v>
      </c>
    </row>
    <row r="826" spans="1:16">
      <c r="A826" t="s">
        <v>860</v>
      </c>
      <c r="B826">
        <v>25</v>
      </c>
      <c r="C826" t="s">
        <v>6</v>
      </c>
      <c r="D826">
        <v>91.19</v>
      </c>
      <c r="E826">
        <v>10</v>
      </c>
      <c r="F826">
        <v>6.56</v>
      </c>
      <c r="G826">
        <v>82.16</v>
      </c>
      <c r="H826">
        <v>10.19</v>
      </c>
      <c r="I826">
        <v>19</v>
      </c>
      <c r="J826">
        <v>4</v>
      </c>
      <c r="K826">
        <f>(StudentData[[#This Row],[Midterm_Grade]]*40%)+(StudentData[[#This Row],[Final_Grade]]*60%)</f>
        <v>38.977999999999994</v>
      </c>
      <c r="L826">
        <f>StudentData[[#This Row],[Attendance_Percentage]]*40%+StudentData[[#This Row],[Assignments_Completed]]*2+StudentData[[#This Row],[Class_Participation]]*2+StudentData[[#This Row],[Projects_Submitted]]*4</f>
        <v>85.596000000000004</v>
      </c>
      <c r="M826">
        <f>StudentData[[#This Row],[Academic_Score]]*60%+StudentData[[#This Row],[Engagement_Score]]*30%+MIN(StudentData[[#This Row],[Study_Hours_per_Week]],20)/20*100*10%</f>
        <v>58.565599999999996</v>
      </c>
      <c r="N826" s="3" t="str" cm="1">
        <f t="array" ref="N826">_xlfn.IFS(StudentData[[#This Row],[Success_Score]]&gt;=85,"Exceptional",StudentData[[#This Row],[Success_Score]]&gt;=70,"Strong",StudentData[[#This Row],[Success_Score]]&gt;=55,"Developing",TRUE,"Needs Improvement")</f>
        <v>Developing</v>
      </c>
      <c r="O826" s="3" t="str">
        <f t="shared" si="24"/>
        <v>Medium Risk</v>
      </c>
      <c r="P826" s="3" t="str">
        <f t="shared" si="25"/>
        <v>24-25</v>
      </c>
    </row>
    <row r="827" spans="1:16">
      <c r="A827" t="s">
        <v>861</v>
      </c>
      <c r="B827">
        <v>21</v>
      </c>
      <c r="C827" t="s">
        <v>5</v>
      </c>
      <c r="D827">
        <v>97.75</v>
      </c>
      <c r="E827">
        <v>7</v>
      </c>
      <c r="F827">
        <v>5.35</v>
      </c>
      <c r="G827">
        <v>10.14</v>
      </c>
      <c r="H827">
        <v>1.59</v>
      </c>
      <c r="I827">
        <v>17</v>
      </c>
      <c r="J827">
        <v>2</v>
      </c>
      <c r="K827">
        <f>(StudentData[[#This Row],[Midterm_Grade]]*40%)+(StudentData[[#This Row],[Final_Grade]]*60%)</f>
        <v>5.01</v>
      </c>
      <c r="L827">
        <f>StudentData[[#This Row],[Attendance_Percentage]]*40%+StudentData[[#This Row],[Assignments_Completed]]*2+StudentData[[#This Row],[Class_Participation]]*2+StudentData[[#This Row],[Projects_Submitted]]*4</f>
        <v>71.8</v>
      </c>
      <c r="M827">
        <f>StudentData[[#This Row],[Academic_Score]]*60%+StudentData[[#This Row],[Engagement_Score]]*30%+MIN(StudentData[[#This Row],[Study_Hours_per_Week]],20)/20*100*10%</f>
        <v>33.045999999999999</v>
      </c>
      <c r="N827" s="3" t="str" cm="1">
        <f t="array" ref="N82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27" s="3" t="str">
        <f t="shared" si="24"/>
        <v>Medium Risk</v>
      </c>
      <c r="P827" s="3" t="str">
        <f t="shared" si="25"/>
        <v>21-23</v>
      </c>
    </row>
    <row r="828" spans="1:16">
      <c r="A828" t="s">
        <v>862</v>
      </c>
      <c r="B828">
        <v>20</v>
      </c>
      <c r="C828" t="s">
        <v>5</v>
      </c>
      <c r="D828">
        <v>91.06</v>
      </c>
      <c r="E828">
        <v>5</v>
      </c>
      <c r="F828">
        <v>0.82</v>
      </c>
      <c r="G828">
        <v>79.19</v>
      </c>
      <c r="H828">
        <v>61.62</v>
      </c>
      <c r="I828">
        <v>17</v>
      </c>
      <c r="J828">
        <v>1</v>
      </c>
      <c r="K828">
        <f>(StudentData[[#This Row],[Midterm_Grade]]*40%)+(StudentData[[#This Row],[Final_Grade]]*60%)</f>
        <v>68.647999999999996</v>
      </c>
      <c r="L828">
        <f>StudentData[[#This Row],[Attendance_Percentage]]*40%+StudentData[[#This Row],[Assignments_Completed]]*2+StudentData[[#This Row],[Class_Participation]]*2+StudentData[[#This Row],[Projects_Submitted]]*4</f>
        <v>52.064</v>
      </c>
      <c r="M828">
        <f>StudentData[[#This Row],[Academic_Score]]*60%+StudentData[[#This Row],[Engagement_Score]]*30%+MIN(StudentData[[#This Row],[Study_Hours_per_Week]],20)/20*100*10%</f>
        <v>65.307999999999993</v>
      </c>
      <c r="N828" s="3" t="str" cm="1">
        <f t="array" ref="N828">_xlfn.IFS(StudentData[[#This Row],[Success_Score]]&gt;=85,"Exceptional",StudentData[[#This Row],[Success_Score]]&gt;=70,"Strong",StudentData[[#This Row],[Success_Score]]&gt;=55,"Developing",TRUE,"Needs Improvement")</f>
        <v>Developing</v>
      </c>
      <c r="O828" s="3" t="str">
        <f t="shared" si="24"/>
        <v>Low Risk</v>
      </c>
      <c r="P828" s="3" t="str">
        <f t="shared" si="25"/>
        <v>18-20</v>
      </c>
    </row>
    <row r="829" spans="1:16">
      <c r="A829" t="s">
        <v>863</v>
      </c>
      <c r="B829">
        <v>19</v>
      </c>
      <c r="C829" t="s">
        <v>4</v>
      </c>
      <c r="D829">
        <v>50.08</v>
      </c>
      <c r="E829">
        <v>3</v>
      </c>
      <c r="F829">
        <v>0.35</v>
      </c>
      <c r="G829">
        <v>81.16</v>
      </c>
      <c r="H829">
        <v>96.08</v>
      </c>
      <c r="I829">
        <v>9</v>
      </c>
      <c r="J829">
        <v>0</v>
      </c>
      <c r="K829">
        <f>(StudentData[[#This Row],[Midterm_Grade]]*40%)+(StudentData[[#This Row],[Final_Grade]]*60%)</f>
        <v>90.111999999999995</v>
      </c>
      <c r="L829">
        <f>StudentData[[#This Row],[Attendance_Percentage]]*40%+StudentData[[#This Row],[Assignments_Completed]]*2+StudentData[[#This Row],[Class_Participation]]*2+StudentData[[#This Row],[Projects_Submitted]]*4</f>
        <v>26.731999999999999</v>
      </c>
      <c r="M829">
        <f>StudentData[[#This Row],[Academic_Score]]*60%+StudentData[[#This Row],[Engagement_Score]]*30%+MIN(StudentData[[#This Row],[Study_Hours_per_Week]],20)/20*100*10%</f>
        <v>66.586799999999982</v>
      </c>
      <c r="N829" s="3" t="str" cm="1">
        <f t="array" ref="N829">_xlfn.IFS(StudentData[[#This Row],[Success_Score]]&gt;=85,"Exceptional",StudentData[[#This Row],[Success_Score]]&gt;=70,"Strong",StudentData[[#This Row],[Success_Score]]&gt;=55,"Developing",TRUE,"Needs Improvement")</f>
        <v>Developing</v>
      </c>
      <c r="O829" s="3" t="str">
        <f t="shared" si="24"/>
        <v>Medium Risk</v>
      </c>
      <c r="P829" s="3" t="str">
        <f t="shared" si="25"/>
        <v>18-20</v>
      </c>
    </row>
    <row r="830" spans="1:16">
      <c r="A830" t="s">
        <v>864</v>
      </c>
      <c r="B830">
        <v>24</v>
      </c>
      <c r="C830" t="s">
        <v>4</v>
      </c>
      <c r="D830">
        <v>81.819999999999993</v>
      </c>
      <c r="E830">
        <v>1</v>
      </c>
      <c r="F830">
        <v>9.9</v>
      </c>
      <c r="G830">
        <v>48.23</v>
      </c>
      <c r="H830">
        <v>90.29</v>
      </c>
      <c r="I830">
        <v>1</v>
      </c>
      <c r="J830">
        <v>1</v>
      </c>
      <c r="K830">
        <f>(StudentData[[#This Row],[Midterm_Grade]]*40%)+(StudentData[[#This Row],[Final_Grade]]*60%)</f>
        <v>73.466000000000008</v>
      </c>
      <c r="L830">
        <f>StudentData[[#This Row],[Attendance_Percentage]]*40%+StudentData[[#This Row],[Assignments_Completed]]*2+StudentData[[#This Row],[Class_Participation]]*2+StudentData[[#This Row],[Projects_Submitted]]*4</f>
        <v>58.528000000000006</v>
      </c>
      <c r="M830">
        <f>StudentData[[#This Row],[Academic_Score]]*60%+StudentData[[#This Row],[Engagement_Score]]*30%+MIN(StudentData[[#This Row],[Study_Hours_per_Week]],20)/20*100*10%</f>
        <v>62.138000000000005</v>
      </c>
      <c r="N830" s="3" t="str" cm="1">
        <f t="array" ref="N830">_xlfn.IFS(StudentData[[#This Row],[Success_Score]]&gt;=85,"Exceptional",StudentData[[#This Row],[Success_Score]]&gt;=70,"Strong",StudentData[[#This Row],[Success_Score]]&gt;=55,"Developing",TRUE,"Needs Improvement")</f>
        <v>Developing</v>
      </c>
      <c r="O830" s="3" t="str">
        <f t="shared" si="24"/>
        <v>Low Risk</v>
      </c>
      <c r="P830" s="3" t="str">
        <f t="shared" si="25"/>
        <v>24-25</v>
      </c>
    </row>
    <row r="831" spans="1:16">
      <c r="A831" t="s">
        <v>865</v>
      </c>
      <c r="B831">
        <v>25</v>
      </c>
      <c r="C831" t="s">
        <v>4</v>
      </c>
      <c r="D831">
        <v>52.56</v>
      </c>
      <c r="E831">
        <v>8</v>
      </c>
      <c r="F831">
        <v>0.3</v>
      </c>
      <c r="G831">
        <v>5.73</v>
      </c>
      <c r="H831">
        <v>69.680000000000007</v>
      </c>
      <c r="I831">
        <v>8</v>
      </c>
      <c r="J831">
        <v>0</v>
      </c>
      <c r="K831">
        <f>(StudentData[[#This Row],[Midterm_Grade]]*40%)+(StudentData[[#This Row],[Final_Grade]]*60%)</f>
        <v>44.1</v>
      </c>
      <c r="L831">
        <f>StudentData[[#This Row],[Attendance_Percentage]]*40%+StudentData[[#This Row],[Assignments_Completed]]*2+StudentData[[#This Row],[Class_Participation]]*2+StudentData[[#This Row],[Projects_Submitted]]*4</f>
        <v>37.624000000000002</v>
      </c>
      <c r="M831">
        <f>StudentData[[#This Row],[Academic_Score]]*60%+StudentData[[#This Row],[Engagement_Score]]*30%+MIN(StudentData[[#This Row],[Study_Hours_per_Week]],20)/20*100*10%</f>
        <v>41.747199999999999</v>
      </c>
      <c r="N831" s="3" t="str" cm="1">
        <f t="array" ref="N83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31" s="3" t="str">
        <f t="shared" si="24"/>
        <v>High Risk</v>
      </c>
      <c r="P831" s="3" t="str">
        <f t="shared" si="25"/>
        <v>24-25</v>
      </c>
    </row>
    <row r="832" spans="1:16">
      <c r="A832" t="s">
        <v>866</v>
      </c>
      <c r="B832">
        <v>22</v>
      </c>
      <c r="C832" t="s">
        <v>4</v>
      </c>
      <c r="D832">
        <v>62.88</v>
      </c>
      <c r="E832">
        <v>0</v>
      </c>
      <c r="F832">
        <v>4.45</v>
      </c>
      <c r="G832">
        <v>17.46</v>
      </c>
      <c r="H832">
        <v>9.66</v>
      </c>
      <c r="I832">
        <v>13</v>
      </c>
      <c r="J832">
        <v>4</v>
      </c>
      <c r="K832">
        <f>(StudentData[[#This Row],[Midterm_Grade]]*40%)+(StudentData[[#This Row],[Final_Grade]]*60%)</f>
        <v>12.780000000000001</v>
      </c>
      <c r="L832">
        <f>StudentData[[#This Row],[Attendance_Percentage]]*40%+StudentData[[#This Row],[Assignments_Completed]]*2+StudentData[[#This Row],[Class_Participation]]*2+StudentData[[#This Row],[Projects_Submitted]]*4</f>
        <v>50.052</v>
      </c>
      <c r="M832">
        <f>StudentData[[#This Row],[Academic_Score]]*60%+StudentData[[#This Row],[Engagement_Score]]*30%+MIN(StudentData[[#This Row],[Study_Hours_per_Week]],20)/20*100*10%</f>
        <v>29.183599999999998</v>
      </c>
      <c r="N832" s="3" t="str" cm="1">
        <f t="array" ref="N83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32" s="3" t="str">
        <f t="shared" si="24"/>
        <v>Medium Risk</v>
      </c>
      <c r="P832" s="3" t="str">
        <f t="shared" si="25"/>
        <v>21-23</v>
      </c>
    </row>
    <row r="833" spans="1:16">
      <c r="A833" t="s">
        <v>867</v>
      </c>
      <c r="B833">
        <v>22</v>
      </c>
      <c r="C833" t="s">
        <v>4</v>
      </c>
      <c r="D833">
        <v>52.98</v>
      </c>
      <c r="E833">
        <v>0</v>
      </c>
      <c r="F833">
        <v>5.05</v>
      </c>
      <c r="G833">
        <v>70.739999999999995</v>
      </c>
      <c r="H833">
        <v>27.42</v>
      </c>
      <c r="I833">
        <v>18</v>
      </c>
      <c r="J833">
        <v>1</v>
      </c>
      <c r="K833">
        <f>(StudentData[[#This Row],[Midterm_Grade]]*40%)+(StudentData[[#This Row],[Final_Grade]]*60%)</f>
        <v>44.748000000000005</v>
      </c>
      <c r="L833">
        <f>StudentData[[#This Row],[Attendance_Percentage]]*40%+StudentData[[#This Row],[Assignments_Completed]]*2+StudentData[[#This Row],[Class_Participation]]*2+StudentData[[#This Row],[Projects_Submitted]]*4</f>
        <v>35.292000000000002</v>
      </c>
      <c r="M833">
        <f>StudentData[[#This Row],[Academic_Score]]*60%+StudentData[[#This Row],[Engagement_Score]]*30%+MIN(StudentData[[#This Row],[Study_Hours_per_Week]],20)/20*100*10%</f>
        <v>46.436399999999999</v>
      </c>
      <c r="N833" s="3" t="str" cm="1">
        <f t="array" ref="N83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33" s="3" t="str">
        <f t="shared" si="24"/>
        <v>High Risk</v>
      </c>
      <c r="P833" s="3" t="str">
        <f t="shared" si="25"/>
        <v>21-23</v>
      </c>
    </row>
    <row r="834" spans="1:16">
      <c r="A834" t="s">
        <v>868</v>
      </c>
      <c r="B834">
        <v>20</v>
      </c>
      <c r="C834" t="s">
        <v>5</v>
      </c>
      <c r="D834">
        <v>80.19</v>
      </c>
      <c r="E834">
        <v>3</v>
      </c>
      <c r="F834">
        <v>1.17</v>
      </c>
      <c r="G834">
        <v>71.180000000000007</v>
      </c>
      <c r="H834">
        <v>32.01</v>
      </c>
      <c r="I834">
        <v>9</v>
      </c>
      <c r="J834">
        <v>4</v>
      </c>
      <c r="K834">
        <f>(StudentData[[#This Row],[Midterm_Grade]]*40%)+(StudentData[[#This Row],[Final_Grade]]*60%)</f>
        <v>47.678000000000004</v>
      </c>
      <c r="L834">
        <f>StudentData[[#This Row],[Attendance_Percentage]]*40%+StudentData[[#This Row],[Assignments_Completed]]*2+StudentData[[#This Row],[Class_Participation]]*2+StudentData[[#This Row],[Projects_Submitted]]*4</f>
        <v>56.415999999999997</v>
      </c>
      <c r="M834">
        <f>StudentData[[#This Row],[Academic_Score]]*60%+StudentData[[#This Row],[Engagement_Score]]*30%+MIN(StudentData[[#This Row],[Study_Hours_per_Week]],20)/20*100*10%</f>
        <v>50.031599999999997</v>
      </c>
      <c r="N834" s="3" t="str" cm="1">
        <f t="array" ref="N83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34" s="3" t="str">
        <f t="shared" ref="O834:O897" si="26">IF(AND(D834&lt;60,K834&lt;50),"High Risk",IF(OR(D834&lt;70,K834&lt;60),"Medium Risk","Low Risk"))</f>
        <v>Medium Risk</v>
      </c>
      <c r="P834" s="3" t="str">
        <f t="shared" ref="P834:P897" si="27">IF(B834&lt;=20,"18-20",IF(B834&lt;=23,"21-23","24-25"))</f>
        <v>18-20</v>
      </c>
    </row>
    <row r="835" spans="1:16">
      <c r="A835" t="s">
        <v>869</v>
      </c>
      <c r="B835">
        <v>21</v>
      </c>
      <c r="C835" t="s">
        <v>6</v>
      </c>
      <c r="D835">
        <v>84.33</v>
      </c>
      <c r="E835">
        <v>6</v>
      </c>
      <c r="F835">
        <v>1.69</v>
      </c>
      <c r="G835">
        <v>89.84</v>
      </c>
      <c r="H835">
        <v>76.319999999999993</v>
      </c>
      <c r="I835">
        <v>3</v>
      </c>
      <c r="J835">
        <v>2</v>
      </c>
      <c r="K835">
        <f>(StudentData[[#This Row],[Midterm_Grade]]*40%)+(StudentData[[#This Row],[Final_Grade]]*60%)</f>
        <v>81.727999999999994</v>
      </c>
      <c r="L835">
        <f>StudentData[[#This Row],[Attendance_Percentage]]*40%+StudentData[[#This Row],[Assignments_Completed]]*2+StudentData[[#This Row],[Class_Participation]]*2+StudentData[[#This Row],[Projects_Submitted]]*4</f>
        <v>57.112000000000002</v>
      </c>
      <c r="M835">
        <f>StudentData[[#This Row],[Academic_Score]]*60%+StudentData[[#This Row],[Engagement_Score]]*30%+MIN(StudentData[[#This Row],[Study_Hours_per_Week]],20)/20*100*10%</f>
        <v>67.670400000000001</v>
      </c>
      <c r="N835" s="3" t="str" cm="1">
        <f t="array" ref="N835">_xlfn.IFS(StudentData[[#This Row],[Success_Score]]&gt;=85,"Exceptional",StudentData[[#This Row],[Success_Score]]&gt;=70,"Strong",StudentData[[#This Row],[Success_Score]]&gt;=55,"Developing",TRUE,"Needs Improvement")</f>
        <v>Developing</v>
      </c>
      <c r="O835" s="3" t="str">
        <f t="shared" si="26"/>
        <v>Low Risk</v>
      </c>
      <c r="P835" s="3" t="str">
        <f t="shared" si="27"/>
        <v>21-23</v>
      </c>
    </row>
    <row r="836" spans="1:16">
      <c r="A836" t="s">
        <v>870</v>
      </c>
      <c r="B836">
        <v>18</v>
      </c>
      <c r="C836" t="s">
        <v>6</v>
      </c>
      <c r="D836">
        <v>55.72</v>
      </c>
      <c r="E836">
        <v>0</v>
      </c>
      <c r="F836">
        <v>3.52</v>
      </c>
      <c r="G836">
        <v>58.27</v>
      </c>
      <c r="H836">
        <v>80.22</v>
      </c>
      <c r="I836">
        <v>5</v>
      </c>
      <c r="J836">
        <v>0</v>
      </c>
      <c r="K836">
        <f>(StudentData[[#This Row],[Midterm_Grade]]*40%)+(StudentData[[#This Row],[Final_Grade]]*60%)</f>
        <v>71.44</v>
      </c>
      <c r="L836">
        <f>StudentData[[#This Row],[Attendance_Percentage]]*40%+StudentData[[#This Row],[Assignments_Completed]]*2+StudentData[[#This Row],[Class_Participation]]*2+StudentData[[#This Row],[Projects_Submitted]]*4</f>
        <v>29.327999999999999</v>
      </c>
      <c r="M836">
        <f>StudentData[[#This Row],[Academic_Score]]*60%+StudentData[[#This Row],[Engagement_Score]]*30%+MIN(StudentData[[#This Row],[Study_Hours_per_Week]],20)/20*100*10%</f>
        <v>54.162399999999998</v>
      </c>
      <c r="N836" s="3" t="str" cm="1">
        <f t="array" ref="N83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36" s="3" t="str">
        <f t="shared" si="26"/>
        <v>Medium Risk</v>
      </c>
      <c r="P836" s="3" t="str">
        <f t="shared" si="27"/>
        <v>18-20</v>
      </c>
    </row>
    <row r="837" spans="1:16">
      <c r="A837" t="s">
        <v>871</v>
      </c>
      <c r="B837">
        <v>21</v>
      </c>
      <c r="C837" t="s">
        <v>4</v>
      </c>
      <c r="D837">
        <v>69.19</v>
      </c>
      <c r="E837">
        <v>8</v>
      </c>
      <c r="F837">
        <v>7.62</v>
      </c>
      <c r="G837">
        <v>12.41</v>
      </c>
      <c r="H837">
        <v>38.51</v>
      </c>
      <c r="I837">
        <v>13</v>
      </c>
      <c r="J837">
        <v>5</v>
      </c>
      <c r="K837">
        <f>(StudentData[[#This Row],[Midterm_Grade]]*40%)+(StudentData[[#This Row],[Final_Grade]]*60%)</f>
        <v>28.07</v>
      </c>
      <c r="L837">
        <f>StudentData[[#This Row],[Attendance_Percentage]]*40%+StudentData[[#This Row],[Assignments_Completed]]*2+StudentData[[#This Row],[Class_Participation]]*2+StudentData[[#This Row],[Projects_Submitted]]*4</f>
        <v>78.915999999999997</v>
      </c>
      <c r="M837">
        <f>StudentData[[#This Row],[Academic_Score]]*60%+StudentData[[#This Row],[Engagement_Score]]*30%+MIN(StudentData[[#This Row],[Study_Hours_per_Week]],20)/20*100*10%</f>
        <v>47.016799999999996</v>
      </c>
      <c r="N837" s="3" t="str" cm="1">
        <f t="array" ref="N83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37" s="3" t="str">
        <f t="shared" si="26"/>
        <v>Medium Risk</v>
      </c>
      <c r="P837" s="3" t="str">
        <f t="shared" si="27"/>
        <v>21-23</v>
      </c>
    </row>
    <row r="838" spans="1:16">
      <c r="A838" t="s">
        <v>872</v>
      </c>
      <c r="B838">
        <v>20</v>
      </c>
      <c r="C838" t="s">
        <v>5</v>
      </c>
      <c r="D838">
        <v>72.81</v>
      </c>
      <c r="E838">
        <v>3</v>
      </c>
      <c r="F838">
        <v>5.07</v>
      </c>
      <c r="G838">
        <v>12.14</v>
      </c>
      <c r="H838">
        <v>41.79</v>
      </c>
      <c r="I838">
        <v>3</v>
      </c>
      <c r="J838">
        <v>2</v>
      </c>
      <c r="K838">
        <f>(StudentData[[#This Row],[Midterm_Grade]]*40%)+(StudentData[[#This Row],[Final_Grade]]*60%)</f>
        <v>29.93</v>
      </c>
      <c r="L838">
        <f>StudentData[[#This Row],[Attendance_Percentage]]*40%+StudentData[[#This Row],[Assignments_Completed]]*2+StudentData[[#This Row],[Class_Participation]]*2+StudentData[[#This Row],[Projects_Submitted]]*4</f>
        <v>53.264000000000003</v>
      </c>
      <c r="M838">
        <f>StudentData[[#This Row],[Academic_Score]]*60%+StudentData[[#This Row],[Engagement_Score]]*30%+MIN(StudentData[[#This Row],[Study_Hours_per_Week]],20)/20*100*10%</f>
        <v>35.437199999999997</v>
      </c>
      <c r="N838" s="3" t="str" cm="1">
        <f t="array" ref="N83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38" s="3" t="str">
        <f t="shared" si="26"/>
        <v>Medium Risk</v>
      </c>
      <c r="P838" s="3" t="str">
        <f t="shared" si="27"/>
        <v>18-20</v>
      </c>
    </row>
    <row r="839" spans="1:16">
      <c r="A839" t="s">
        <v>873</v>
      </c>
      <c r="B839">
        <v>22</v>
      </c>
      <c r="C839" t="s">
        <v>4</v>
      </c>
      <c r="D839">
        <v>68.45</v>
      </c>
      <c r="E839">
        <v>2</v>
      </c>
      <c r="F839">
        <v>6.38</v>
      </c>
      <c r="G839">
        <v>72.11</v>
      </c>
      <c r="H839">
        <v>4.45</v>
      </c>
      <c r="I839">
        <v>14</v>
      </c>
      <c r="J839">
        <v>0</v>
      </c>
      <c r="K839">
        <f>(StudentData[[#This Row],[Midterm_Grade]]*40%)+(StudentData[[#This Row],[Final_Grade]]*60%)</f>
        <v>31.514000000000003</v>
      </c>
      <c r="L839">
        <f>StudentData[[#This Row],[Attendance_Percentage]]*40%+StudentData[[#This Row],[Assignments_Completed]]*2+StudentData[[#This Row],[Class_Participation]]*2+StudentData[[#This Row],[Projects_Submitted]]*4</f>
        <v>44.14</v>
      </c>
      <c r="M839">
        <f>StudentData[[#This Row],[Academic_Score]]*60%+StudentData[[#This Row],[Engagement_Score]]*30%+MIN(StudentData[[#This Row],[Study_Hours_per_Week]],20)/20*100*10%</f>
        <v>39.150399999999998</v>
      </c>
      <c r="N839" s="3" t="str" cm="1">
        <f t="array" ref="N83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39" s="3" t="str">
        <f t="shared" si="26"/>
        <v>Medium Risk</v>
      </c>
      <c r="P839" s="3" t="str">
        <f t="shared" si="27"/>
        <v>21-23</v>
      </c>
    </row>
    <row r="840" spans="1:16">
      <c r="A840" t="s">
        <v>874</v>
      </c>
      <c r="B840">
        <v>21</v>
      </c>
      <c r="C840" t="s">
        <v>5</v>
      </c>
      <c r="D840">
        <v>56.05</v>
      </c>
      <c r="E840">
        <v>0</v>
      </c>
      <c r="F840">
        <v>9.85</v>
      </c>
      <c r="G840">
        <v>18.38</v>
      </c>
      <c r="H840">
        <v>28.91</v>
      </c>
      <c r="I840">
        <v>15</v>
      </c>
      <c r="J840">
        <v>4</v>
      </c>
      <c r="K840">
        <f>(StudentData[[#This Row],[Midterm_Grade]]*40%)+(StudentData[[#This Row],[Final_Grade]]*60%)</f>
        <v>24.698</v>
      </c>
      <c r="L840">
        <f>StudentData[[#This Row],[Attendance_Percentage]]*40%+StudentData[[#This Row],[Assignments_Completed]]*2+StudentData[[#This Row],[Class_Participation]]*2+StudentData[[#This Row],[Projects_Submitted]]*4</f>
        <v>58.120000000000005</v>
      </c>
      <c r="M840">
        <f>StudentData[[#This Row],[Academic_Score]]*60%+StudentData[[#This Row],[Engagement_Score]]*30%+MIN(StudentData[[#This Row],[Study_Hours_per_Week]],20)/20*100*10%</f>
        <v>39.754800000000003</v>
      </c>
      <c r="N840" s="3" t="str" cm="1">
        <f t="array" ref="N84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40" s="3" t="str">
        <f t="shared" si="26"/>
        <v>High Risk</v>
      </c>
      <c r="P840" s="3" t="str">
        <f t="shared" si="27"/>
        <v>21-23</v>
      </c>
    </row>
    <row r="841" spans="1:16">
      <c r="A841" t="s">
        <v>875</v>
      </c>
      <c r="B841">
        <v>22</v>
      </c>
      <c r="C841" t="s">
        <v>5</v>
      </c>
      <c r="D841">
        <v>70.95</v>
      </c>
      <c r="E841">
        <v>9</v>
      </c>
      <c r="F841">
        <v>7.68</v>
      </c>
      <c r="G841">
        <v>32.840000000000003</v>
      </c>
      <c r="H841">
        <v>45.13</v>
      </c>
      <c r="I841">
        <v>6</v>
      </c>
      <c r="J841">
        <v>3</v>
      </c>
      <c r="K841">
        <f>(StudentData[[#This Row],[Midterm_Grade]]*40%)+(StudentData[[#This Row],[Final_Grade]]*60%)</f>
        <v>40.213999999999999</v>
      </c>
      <c r="L841">
        <f>StudentData[[#This Row],[Attendance_Percentage]]*40%+StudentData[[#This Row],[Assignments_Completed]]*2+StudentData[[#This Row],[Class_Participation]]*2+StudentData[[#This Row],[Projects_Submitted]]*4</f>
        <v>73.740000000000009</v>
      </c>
      <c r="M841">
        <f>StudentData[[#This Row],[Academic_Score]]*60%+StudentData[[#This Row],[Engagement_Score]]*30%+MIN(StudentData[[#This Row],[Study_Hours_per_Week]],20)/20*100*10%</f>
        <v>49.250399999999999</v>
      </c>
      <c r="N841" s="3" t="str" cm="1">
        <f t="array" ref="N84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41" s="3" t="str">
        <f t="shared" si="26"/>
        <v>Medium Risk</v>
      </c>
      <c r="P841" s="3" t="str">
        <f t="shared" si="27"/>
        <v>21-23</v>
      </c>
    </row>
    <row r="842" spans="1:16">
      <c r="A842" t="s">
        <v>876</v>
      </c>
      <c r="B842">
        <v>24</v>
      </c>
      <c r="C842" t="s">
        <v>5</v>
      </c>
      <c r="D842">
        <v>87.56</v>
      </c>
      <c r="E842">
        <v>3</v>
      </c>
      <c r="F842">
        <v>4.34</v>
      </c>
      <c r="G842">
        <v>48.72</v>
      </c>
      <c r="H842">
        <v>11.7</v>
      </c>
      <c r="I842">
        <v>16</v>
      </c>
      <c r="J842">
        <v>1</v>
      </c>
      <c r="K842">
        <f>(StudentData[[#This Row],[Midterm_Grade]]*40%)+(StudentData[[#This Row],[Final_Grade]]*60%)</f>
        <v>26.507999999999999</v>
      </c>
      <c r="L842">
        <f>StudentData[[#This Row],[Attendance_Percentage]]*40%+StudentData[[#This Row],[Assignments_Completed]]*2+StudentData[[#This Row],[Class_Participation]]*2+StudentData[[#This Row],[Projects_Submitted]]*4</f>
        <v>53.704000000000001</v>
      </c>
      <c r="M842">
        <f>StudentData[[#This Row],[Academic_Score]]*60%+StudentData[[#This Row],[Engagement_Score]]*30%+MIN(StudentData[[#This Row],[Study_Hours_per_Week]],20)/20*100*10%</f>
        <v>40.015999999999998</v>
      </c>
      <c r="N842" s="3" t="str" cm="1">
        <f t="array" ref="N84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42" s="3" t="str">
        <f t="shared" si="26"/>
        <v>Medium Risk</v>
      </c>
      <c r="P842" s="3" t="str">
        <f t="shared" si="27"/>
        <v>24-25</v>
      </c>
    </row>
    <row r="843" spans="1:16">
      <c r="A843" t="s">
        <v>877</v>
      </c>
      <c r="B843">
        <v>25</v>
      </c>
      <c r="C843" t="s">
        <v>4</v>
      </c>
      <c r="D843">
        <v>53.55</v>
      </c>
      <c r="E843">
        <v>8</v>
      </c>
      <c r="F843">
        <v>4.46</v>
      </c>
      <c r="G843">
        <v>2.48</v>
      </c>
      <c r="H843">
        <v>45.33</v>
      </c>
      <c r="I843">
        <v>18</v>
      </c>
      <c r="J843">
        <v>4</v>
      </c>
      <c r="K843">
        <f>(StudentData[[#This Row],[Midterm_Grade]]*40%)+(StudentData[[#This Row],[Final_Grade]]*60%)</f>
        <v>28.189999999999998</v>
      </c>
      <c r="L843">
        <f>StudentData[[#This Row],[Attendance_Percentage]]*40%+StudentData[[#This Row],[Assignments_Completed]]*2+StudentData[[#This Row],[Class_Participation]]*2+StudentData[[#This Row],[Projects_Submitted]]*4</f>
        <v>62.34</v>
      </c>
      <c r="M843">
        <f>StudentData[[#This Row],[Academic_Score]]*60%+StudentData[[#This Row],[Engagement_Score]]*30%+MIN(StudentData[[#This Row],[Study_Hours_per_Week]],20)/20*100*10%</f>
        <v>44.616</v>
      </c>
      <c r="N843" s="3" t="str" cm="1">
        <f t="array" ref="N84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43" s="3" t="str">
        <f t="shared" si="26"/>
        <v>High Risk</v>
      </c>
      <c r="P843" s="3" t="str">
        <f t="shared" si="27"/>
        <v>24-25</v>
      </c>
    </row>
    <row r="844" spans="1:16">
      <c r="A844" t="s">
        <v>878</v>
      </c>
      <c r="B844">
        <v>18</v>
      </c>
      <c r="C844" t="s">
        <v>4</v>
      </c>
      <c r="D844">
        <v>54.01</v>
      </c>
      <c r="E844">
        <v>9</v>
      </c>
      <c r="F844">
        <v>6.19</v>
      </c>
      <c r="G844">
        <v>24.88</v>
      </c>
      <c r="H844">
        <v>85.32</v>
      </c>
      <c r="I844">
        <v>18</v>
      </c>
      <c r="J844">
        <v>0</v>
      </c>
      <c r="K844">
        <f>(StudentData[[#This Row],[Midterm_Grade]]*40%)+(StudentData[[#This Row],[Final_Grade]]*60%)</f>
        <v>61.143999999999991</v>
      </c>
      <c r="L844">
        <f>StudentData[[#This Row],[Attendance_Percentage]]*40%+StudentData[[#This Row],[Assignments_Completed]]*2+StudentData[[#This Row],[Class_Participation]]*2+StudentData[[#This Row],[Projects_Submitted]]*4</f>
        <v>51.984000000000002</v>
      </c>
      <c r="M844">
        <f>StudentData[[#This Row],[Academic_Score]]*60%+StudentData[[#This Row],[Engagement_Score]]*30%+MIN(StudentData[[#This Row],[Study_Hours_per_Week]],20)/20*100*10%</f>
        <v>61.28159999999999</v>
      </c>
      <c r="N844" s="3" t="str" cm="1">
        <f t="array" ref="N844">_xlfn.IFS(StudentData[[#This Row],[Success_Score]]&gt;=85,"Exceptional",StudentData[[#This Row],[Success_Score]]&gt;=70,"Strong",StudentData[[#This Row],[Success_Score]]&gt;=55,"Developing",TRUE,"Needs Improvement")</f>
        <v>Developing</v>
      </c>
      <c r="O844" s="3" t="str">
        <f t="shared" si="26"/>
        <v>Medium Risk</v>
      </c>
      <c r="P844" s="3" t="str">
        <f t="shared" si="27"/>
        <v>18-20</v>
      </c>
    </row>
    <row r="845" spans="1:16">
      <c r="A845" t="s">
        <v>879</v>
      </c>
      <c r="B845">
        <v>24</v>
      </c>
      <c r="C845" t="s">
        <v>4</v>
      </c>
      <c r="D845">
        <v>67.739999999999995</v>
      </c>
      <c r="E845">
        <v>5</v>
      </c>
      <c r="F845">
        <v>6.65</v>
      </c>
      <c r="G845">
        <v>40.79</v>
      </c>
      <c r="H845">
        <v>58.13</v>
      </c>
      <c r="I845">
        <v>16</v>
      </c>
      <c r="J845">
        <v>0</v>
      </c>
      <c r="K845">
        <f>(StudentData[[#This Row],[Midterm_Grade]]*40%)+(StudentData[[#This Row],[Final_Grade]]*60%)</f>
        <v>51.194000000000003</v>
      </c>
      <c r="L845">
        <f>StudentData[[#This Row],[Attendance_Percentage]]*40%+StudentData[[#This Row],[Assignments_Completed]]*2+StudentData[[#This Row],[Class_Participation]]*2+StudentData[[#This Row],[Projects_Submitted]]*4</f>
        <v>50.396000000000001</v>
      </c>
      <c r="M845">
        <f>StudentData[[#This Row],[Academic_Score]]*60%+StudentData[[#This Row],[Engagement_Score]]*30%+MIN(StudentData[[#This Row],[Study_Hours_per_Week]],20)/20*100*10%</f>
        <v>53.8352</v>
      </c>
      <c r="N845" s="3" t="str" cm="1">
        <f t="array" ref="N84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45" s="3" t="str">
        <f t="shared" si="26"/>
        <v>Medium Risk</v>
      </c>
      <c r="P845" s="3" t="str">
        <f t="shared" si="27"/>
        <v>24-25</v>
      </c>
    </row>
    <row r="846" spans="1:16">
      <c r="A846" t="s">
        <v>880</v>
      </c>
      <c r="B846">
        <v>22</v>
      </c>
      <c r="C846" t="s">
        <v>4</v>
      </c>
      <c r="D846">
        <v>97.09</v>
      </c>
      <c r="E846">
        <v>5</v>
      </c>
      <c r="F846">
        <v>5.01</v>
      </c>
      <c r="G846">
        <v>27.96</v>
      </c>
      <c r="H846">
        <v>7.89</v>
      </c>
      <c r="I846">
        <v>5</v>
      </c>
      <c r="J846">
        <v>0</v>
      </c>
      <c r="K846">
        <f>(StudentData[[#This Row],[Midterm_Grade]]*40%)+(StudentData[[#This Row],[Final_Grade]]*60%)</f>
        <v>15.918000000000001</v>
      </c>
      <c r="L846">
        <f>StudentData[[#This Row],[Attendance_Percentage]]*40%+StudentData[[#This Row],[Assignments_Completed]]*2+StudentData[[#This Row],[Class_Participation]]*2+StudentData[[#This Row],[Projects_Submitted]]*4</f>
        <v>58.856000000000009</v>
      </c>
      <c r="M846">
        <f>StudentData[[#This Row],[Academic_Score]]*60%+StudentData[[#This Row],[Engagement_Score]]*30%+MIN(StudentData[[#This Row],[Study_Hours_per_Week]],20)/20*100*10%</f>
        <v>29.707599999999999</v>
      </c>
      <c r="N846" s="3" t="str" cm="1">
        <f t="array" ref="N84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46" s="3" t="str">
        <f t="shared" si="26"/>
        <v>Medium Risk</v>
      </c>
      <c r="P846" s="3" t="str">
        <f t="shared" si="27"/>
        <v>21-23</v>
      </c>
    </row>
    <row r="847" spans="1:16">
      <c r="A847" t="s">
        <v>881</v>
      </c>
      <c r="B847">
        <v>22</v>
      </c>
      <c r="C847" t="s">
        <v>5</v>
      </c>
      <c r="D847">
        <v>83.43</v>
      </c>
      <c r="E847">
        <v>0</v>
      </c>
      <c r="F847">
        <v>6.45</v>
      </c>
      <c r="G847">
        <v>13.64</v>
      </c>
      <c r="H847">
        <v>19.170000000000002</v>
      </c>
      <c r="I847">
        <v>10</v>
      </c>
      <c r="J847">
        <v>0</v>
      </c>
      <c r="K847">
        <f>(StudentData[[#This Row],[Midterm_Grade]]*40%)+(StudentData[[#This Row],[Final_Grade]]*60%)</f>
        <v>16.958000000000002</v>
      </c>
      <c r="L847">
        <f>StudentData[[#This Row],[Attendance_Percentage]]*40%+StudentData[[#This Row],[Assignments_Completed]]*2+StudentData[[#This Row],[Class_Participation]]*2+StudentData[[#This Row],[Projects_Submitted]]*4</f>
        <v>46.272000000000006</v>
      </c>
      <c r="M847">
        <f>StudentData[[#This Row],[Academic_Score]]*60%+StudentData[[#This Row],[Engagement_Score]]*30%+MIN(StudentData[[#This Row],[Study_Hours_per_Week]],20)/20*100*10%</f>
        <v>29.056400000000004</v>
      </c>
      <c r="N847" s="3" t="str" cm="1">
        <f t="array" ref="N84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47" s="3" t="str">
        <f t="shared" si="26"/>
        <v>Medium Risk</v>
      </c>
      <c r="P847" s="3" t="str">
        <f t="shared" si="27"/>
        <v>21-23</v>
      </c>
    </row>
    <row r="848" spans="1:16">
      <c r="A848" t="s">
        <v>882</v>
      </c>
      <c r="B848">
        <v>19</v>
      </c>
      <c r="C848" t="s">
        <v>5</v>
      </c>
      <c r="D848">
        <v>83.93</v>
      </c>
      <c r="E848">
        <v>9</v>
      </c>
      <c r="F848">
        <v>0.24</v>
      </c>
      <c r="G848">
        <v>72.8</v>
      </c>
      <c r="H848">
        <v>47.45</v>
      </c>
      <c r="I848">
        <v>15</v>
      </c>
      <c r="J848">
        <v>1</v>
      </c>
      <c r="K848">
        <f>(StudentData[[#This Row],[Midterm_Grade]]*40%)+(StudentData[[#This Row],[Final_Grade]]*60%)</f>
        <v>57.59</v>
      </c>
      <c r="L848">
        <f>StudentData[[#This Row],[Attendance_Percentage]]*40%+StudentData[[#This Row],[Assignments_Completed]]*2+StudentData[[#This Row],[Class_Participation]]*2+StudentData[[#This Row],[Projects_Submitted]]*4</f>
        <v>56.052</v>
      </c>
      <c r="M848">
        <f>StudentData[[#This Row],[Academic_Score]]*60%+StudentData[[#This Row],[Engagement_Score]]*30%+MIN(StudentData[[#This Row],[Study_Hours_per_Week]],20)/20*100*10%</f>
        <v>58.869600000000005</v>
      </c>
      <c r="N848" s="3" t="str" cm="1">
        <f t="array" ref="N848">_xlfn.IFS(StudentData[[#This Row],[Success_Score]]&gt;=85,"Exceptional",StudentData[[#This Row],[Success_Score]]&gt;=70,"Strong",StudentData[[#This Row],[Success_Score]]&gt;=55,"Developing",TRUE,"Needs Improvement")</f>
        <v>Developing</v>
      </c>
      <c r="O848" s="3" t="str">
        <f t="shared" si="26"/>
        <v>Medium Risk</v>
      </c>
      <c r="P848" s="3" t="str">
        <f t="shared" si="27"/>
        <v>18-20</v>
      </c>
    </row>
    <row r="849" spans="1:16">
      <c r="A849" t="s">
        <v>883</v>
      </c>
      <c r="B849">
        <v>19</v>
      </c>
      <c r="C849" t="s">
        <v>5</v>
      </c>
      <c r="D849">
        <v>68.099999999999994</v>
      </c>
      <c r="E849">
        <v>1</v>
      </c>
      <c r="F849">
        <v>4.3</v>
      </c>
      <c r="G849">
        <v>81.31</v>
      </c>
      <c r="H849">
        <v>36.15</v>
      </c>
      <c r="I849">
        <v>7</v>
      </c>
      <c r="J849">
        <v>2</v>
      </c>
      <c r="K849">
        <f>(StudentData[[#This Row],[Midterm_Grade]]*40%)+(StudentData[[#This Row],[Final_Grade]]*60%)</f>
        <v>54.213999999999999</v>
      </c>
      <c r="L849">
        <f>StudentData[[#This Row],[Attendance_Percentage]]*40%+StudentData[[#This Row],[Assignments_Completed]]*2+StudentData[[#This Row],[Class_Participation]]*2+StudentData[[#This Row],[Projects_Submitted]]*4</f>
        <v>45.839999999999996</v>
      </c>
      <c r="M849">
        <f>StudentData[[#This Row],[Academic_Score]]*60%+StudentData[[#This Row],[Engagement_Score]]*30%+MIN(StudentData[[#This Row],[Study_Hours_per_Week]],20)/20*100*10%</f>
        <v>49.7804</v>
      </c>
      <c r="N849" s="3" t="str" cm="1">
        <f t="array" ref="N84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49" s="3" t="str">
        <f t="shared" si="26"/>
        <v>Medium Risk</v>
      </c>
      <c r="P849" s="3" t="str">
        <f t="shared" si="27"/>
        <v>18-20</v>
      </c>
    </row>
    <row r="850" spans="1:16">
      <c r="A850" t="s">
        <v>884</v>
      </c>
      <c r="B850">
        <v>24</v>
      </c>
      <c r="C850" t="s">
        <v>6</v>
      </c>
      <c r="D850">
        <v>79.680000000000007</v>
      </c>
      <c r="E850">
        <v>10</v>
      </c>
      <c r="F850">
        <v>2.79</v>
      </c>
      <c r="G850">
        <v>25.75</v>
      </c>
      <c r="H850">
        <v>35.869999999999997</v>
      </c>
      <c r="I850">
        <v>10</v>
      </c>
      <c r="J850">
        <v>5</v>
      </c>
      <c r="K850">
        <f>(StudentData[[#This Row],[Midterm_Grade]]*40%)+(StudentData[[#This Row],[Final_Grade]]*60%)</f>
        <v>31.821999999999999</v>
      </c>
      <c r="L850">
        <f>StudentData[[#This Row],[Attendance_Percentage]]*40%+StudentData[[#This Row],[Assignments_Completed]]*2+StudentData[[#This Row],[Class_Participation]]*2+StudentData[[#This Row],[Projects_Submitted]]*4</f>
        <v>77.451999999999998</v>
      </c>
      <c r="M850">
        <f>StudentData[[#This Row],[Academic_Score]]*60%+StudentData[[#This Row],[Engagement_Score]]*30%+MIN(StudentData[[#This Row],[Study_Hours_per_Week]],20)/20*100*10%</f>
        <v>47.328800000000001</v>
      </c>
      <c r="N850" s="3" t="str" cm="1">
        <f t="array" ref="N85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50" s="3" t="str">
        <f t="shared" si="26"/>
        <v>Medium Risk</v>
      </c>
      <c r="P850" s="3" t="str">
        <f t="shared" si="27"/>
        <v>24-25</v>
      </c>
    </row>
    <row r="851" spans="1:16">
      <c r="A851" t="s">
        <v>885</v>
      </c>
      <c r="B851">
        <v>23</v>
      </c>
      <c r="C851" t="s">
        <v>5</v>
      </c>
      <c r="D851">
        <v>50.51</v>
      </c>
      <c r="E851">
        <v>5</v>
      </c>
      <c r="F851">
        <v>1.29</v>
      </c>
      <c r="G851">
        <v>77.44</v>
      </c>
      <c r="H851">
        <v>52.93</v>
      </c>
      <c r="I851">
        <v>6</v>
      </c>
      <c r="J851">
        <v>3</v>
      </c>
      <c r="K851">
        <f>(StudentData[[#This Row],[Midterm_Grade]]*40%)+(StudentData[[#This Row],[Final_Grade]]*60%)</f>
        <v>62.733999999999995</v>
      </c>
      <c r="L851">
        <f>StudentData[[#This Row],[Attendance_Percentage]]*40%+StudentData[[#This Row],[Assignments_Completed]]*2+StudentData[[#This Row],[Class_Participation]]*2+StudentData[[#This Row],[Projects_Submitted]]*4</f>
        <v>44.783999999999999</v>
      </c>
      <c r="M851">
        <f>StudentData[[#This Row],[Academic_Score]]*60%+StudentData[[#This Row],[Engagement_Score]]*30%+MIN(StudentData[[#This Row],[Study_Hours_per_Week]],20)/20*100*10%</f>
        <v>54.075599999999994</v>
      </c>
      <c r="N851" s="3" t="str" cm="1">
        <f t="array" ref="N85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51" s="3" t="str">
        <f t="shared" si="26"/>
        <v>Medium Risk</v>
      </c>
      <c r="P851" s="3" t="str">
        <f t="shared" si="27"/>
        <v>21-23</v>
      </c>
    </row>
    <row r="852" spans="1:16">
      <c r="A852" t="s">
        <v>886</v>
      </c>
      <c r="B852">
        <v>24</v>
      </c>
      <c r="C852" t="s">
        <v>4</v>
      </c>
      <c r="D852">
        <v>81.8</v>
      </c>
      <c r="E852">
        <v>1</v>
      </c>
      <c r="F852">
        <v>1</v>
      </c>
      <c r="G852">
        <v>38.56</v>
      </c>
      <c r="H852">
        <v>58.44</v>
      </c>
      <c r="I852">
        <v>18</v>
      </c>
      <c r="J852">
        <v>1</v>
      </c>
      <c r="K852">
        <f>(StudentData[[#This Row],[Midterm_Grade]]*40%)+(StudentData[[#This Row],[Final_Grade]]*60%)</f>
        <v>50.488</v>
      </c>
      <c r="L852">
        <f>StudentData[[#This Row],[Attendance_Percentage]]*40%+StudentData[[#This Row],[Assignments_Completed]]*2+StudentData[[#This Row],[Class_Participation]]*2+StudentData[[#This Row],[Projects_Submitted]]*4</f>
        <v>40.72</v>
      </c>
      <c r="M852">
        <f>StudentData[[#This Row],[Academic_Score]]*60%+StudentData[[#This Row],[Engagement_Score]]*30%+MIN(StudentData[[#This Row],[Study_Hours_per_Week]],20)/20*100*10%</f>
        <v>51.508800000000001</v>
      </c>
      <c r="N852" s="3" t="str" cm="1">
        <f t="array" ref="N85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52" s="3" t="str">
        <f t="shared" si="26"/>
        <v>Medium Risk</v>
      </c>
      <c r="P852" s="3" t="str">
        <f t="shared" si="27"/>
        <v>24-25</v>
      </c>
    </row>
    <row r="853" spans="1:16">
      <c r="A853" t="s">
        <v>887</v>
      </c>
      <c r="B853">
        <v>19</v>
      </c>
      <c r="C853" t="s">
        <v>4</v>
      </c>
      <c r="D853">
        <v>95.66</v>
      </c>
      <c r="E853">
        <v>2</v>
      </c>
      <c r="F853">
        <v>6.03</v>
      </c>
      <c r="G853">
        <v>50.67</v>
      </c>
      <c r="H853">
        <v>79.69</v>
      </c>
      <c r="I853">
        <v>9</v>
      </c>
      <c r="J853">
        <v>0</v>
      </c>
      <c r="K853">
        <f>(StudentData[[#This Row],[Midterm_Grade]]*40%)+(StudentData[[#This Row],[Final_Grade]]*60%)</f>
        <v>68.081999999999994</v>
      </c>
      <c r="L853">
        <f>StudentData[[#This Row],[Attendance_Percentage]]*40%+StudentData[[#This Row],[Assignments_Completed]]*2+StudentData[[#This Row],[Class_Participation]]*2+StudentData[[#This Row],[Projects_Submitted]]*4</f>
        <v>54.324000000000005</v>
      </c>
      <c r="M853">
        <f>StudentData[[#This Row],[Academic_Score]]*60%+StudentData[[#This Row],[Engagement_Score]]*30%+MIN(StudentData[[#This Row],[Study_Hours_per_Week]],20)/20*100*10%</f>
        <v>61.6464</v>
      </c>
      <c r="N853" s="3" t="str" cm="1">
        <f t="array" ref="N853">_xlfn.IFS(StudentData[[#This Row],[Success_Score]]&gt;=85,"Exceptional",StudentData[[#This Row],[Success_Score]]&gt;=70,"Strong",StudentData[[#This Row],[Success_Score]]&gt;=55,"Developing",TRUE,"Needs Improvement")</f>
        <v>Developing</v>
      </c>
      <c r="O853" s="3" t="str">
        <f t="shared" si="26"/>
        <v>Low Risk</v>
      </c>
      <c r="P853" s="3" t="str">
        <f t="shared" si="27"/>
        <v>18-20</v>
      </c>
    </row>
    <row r="854" spans="1:16">
      <c r="A854" t="s">
        <v>888</v>
      </c>
      <c r="B854">
        <v>22</v>
      </c>
      <c r="C854" t="s">
        <v>5</v>
      </c>
      <c r="D854">
        <v>80.63</v>
      </c>
      <c r="E854">
        <v>3</v>
      </c>
      <c r="F854">
        <v>5.24</v>
      </c>
      <c r="G854">
        <v>85.6</v>
      </c>
      <c r="H854">
        <v>34.1</v>
      </c>
      <c r="I854">
        <v>8</v>
      </c>
      <c r="J854">
        <v>1</v>
      </c>
      <c r="K854">
        <f>(StudentData[[#This Row],[Midterm_Grade]]*40%)+(StudentData[[#This Row],[Final_Grade]]*60%)</f>
        <v>54.7</v>
      </c>
      <c r="L854">
        <f>StudentData[[#This Row],[Attendance_Percentage]]*40%+StudentData[[#This Row],[Assignments_Completed]]*2+StudentData[[#This Row],[Class_Participation]]*2+StudentData[[#This Row],[Projects_Submitted]]*4</f>
        <v>52.731999999999999</v>
      </c>
      <c r="M854">
        <f>StudentData[[#This Row],[Academic_Score]]*60%+StudentData[[#This Row],[Engagement_Score]]*30%+MIN(StudentData[[#This Row],[Study_Hours_per_Week]],20)/20*100*10%</f>
        <v>52.639600000000002</v>
      </c>
      <c r="N854" s="3" t="str" cm="1">
        <f t="array" ref="N85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54" s="3" t="str">
        <f t="shared" si="26"/>
        <v>Medium Risk</v>
      </c>
      <c r="P854" s="3" t="str">
        <f t="shared" si="27"/>
        <v>21-23</v>
      </c>
    </row>
    <row r="855" spans="1:16">
      <c r="A855" t="s">
        <v>889</v>
      </c>
      <c r="B855">
        <v>20</v>
      </c>
      <c r="C855" t="s">
        <v>4</v>
      </c>
      <c r="D855">
        <v>93.68</v>
      </c>
      <c r="E855">
        <v>10</v>
      </c>
      <c r="F855">
        <v>2.54</v>
      </c>
      <c r="G855">
        <v>75</v>
      </c>
      <c r="H855">
        <v>80.55</v>
      </c>
      <c r="I855">
        <v>3</v>
      </c>
      <c r="J855">
        <v>4</v>
      </c>
      <c r="K855">
        <f>(StudentData[[#This Row],[Midterm_Grade]]*40%)+(StudentData[[#This Row],[Final_Grade]]*60%)</f>
        <v>78.33</v>
      </c>
      <c r="L855">
        <f>StudentData[[#This Row],[Attendance_Percentage]]*40%+StudentData[[#This Row],[Assignments_Completed]]*2+StudentData[[#This Row],[Class_Participation]]*2+StudentData[[#This Row],[Projects_Submitted]]*4</f>
        <v>78.551999999999992</v>
      </c>
      <c r="M855">
        <f>StudentData[[#This Row],[Academic_Score]]*60%+StudentData[[#This Row],[Engagement_Score]]*30%+MIN(StudentData[[#This Row],[Study_Hours_per_Week]],20)/20*100*10%</f>
        <v>72.063599999999994</v>
      </c>
      <c r="N855" s="3" t="str" cm="1">
        <f t="array" ref="N855">_xlfn.IFS(StudentData[[#This Row],[Success_Score]]&gt;=85,"Exceptional",StudentData[[#This Row],[Success_Score]]&gt;=70,"Strong",StudentData[[#This Row],[Success_Score]]&gt;=55,"Developing",TRUE,"Needs Improvement")</f>
        <v>Strong</v>
      </c>
      <c r="O855" s="3" t="str">
        <f t="shared" si="26"/>
        <v>Low Risk</v>
      </c>
      <c r="P855" s="3" t="str">
        <f t="shared" si="27"/>
        <v>18-20</v>
      </c>
    </row>
    <row r="856" spans="1:16">
      <c r="A856" t="s">
        <v>890</v>
      </c>
      <c r="B856">
        <v>24</v>
      </c>
      <c r="C856" t="s">
        <v>4</v>
      </c>
      <c r="D856">
        <v>86.2</v>
      </c>
      <c r="E856">
        <v>4</v>
      </c>
      <c r="F856">
        <v>4.71</v>
      </c>
      <c r="G856">
        <v>80.510000000000005</v>
      </c>
      <c r="H856">
        <v>33.86</v>
      </c>
      <c r="I856">
        <v>14</v>
      </c>
      <c r="J856">
        <v>5</v>
      </c>
      <c r="K856">
        <f>(StudentData[[#This Row],[Midterm_Grade]]*40%)+(StudentData[[#This Row],[Final_Grade]]*60%)</f>
        <v>52.519999999999996</v>
      </c>
      <c r="L856">
        <f>StudentData[[#This Row],[Attendance_Percentage]]*40%+StudentData[[#This Row],[Assignments_Completed]]*2+StudentData[[#This Row],[Class_Participation]]*2+StudentData[[#This Row],[Projects_Submitted]]*4</f>
        <v>71.900000000000006</v>
      </c>
      <c r="M856">
        <f>StudentData[[#This Row],[Academic_Score]]*60%+StudentData[[#This Row],[Engagement_Score]]*30%+MIN(StudentData[[#This Row],[Study_Hours_per_Week]],20)/20*100*10%</f>
        <v>60.081999999999994</v>
      </c>
      <c r="N856" s="3" t="str" cm="1">
        <f t="array" ref="N856">_xlfn.IFS(StudentData[[#This Row],[Success_Score]]&gt;=85,"Exceptional",StudentData[[#This Row],[Success_Score]]&gt;=70,"Strong",StudentData[[#This Row],[Success_Score]]&gt;=55,"Developing",TRUE,"Needs Improvement")</f>
        <v>Developing</v>
      </c>
      <c r="O856" s="3" t="str">
        <f t="shared" si="26"/>
        <v>Medium Risk</v>
      </c>
      <c r="P856" s="3" t="str">
        <f t="shared" si="27"/>
        <v>24-25</v>
      </c>
    </row>
    <row r="857" spans="1:16">
      <c r="A857" t="s">
        <v>891</v>
      </c>
      <c r="B857">
        <v>22</v>
      </c>
      <c r="C857" t="s">
        <v>4</v>
      </c>
      <c r="D857">
        <v>56.03</v>
      </c>
      <c r="E857">
        <v>8</v>
      </c>
      <c r="F857">
        <v>4.92</v>
      </c>
      <c r="G857">
        <v>13.68</v>
      </c>
      <c r="H857">
        <v>5.54</v>
      </c>
      <c r="I857">
        <v>12</v>
      </c>
      <c r="J857">
        <v>0</v>
      </c>
      <c r="K857">
        <f>(StudentData[[#This Row],[Midterm_Grade]]*40%)+(StudentData[[#This Row],[Final_Grade]]*60%)</f>
        <v>8.7959999999999994</v>
      </c>
      <c r="L857">
        <f>StudentData[[#This Row],[Attendance_Percentage]]*40%+StudentData[[#This Row],[Assignments_Completed]]*2+StudentData[[#This Row],[Class_Participation]]*2+StudentData[[#This Row],[Projects_Submitted]]*4</f>
        <v>48.25200000000001</v>
      </c>
      <c r="M857">
        <f>StudentData[[#This Row],[Academic_Score]]*60%+StudentData[[#This Row],[Engagement_Score]]*30%+MIN(StudentData[[#This Row],[Study_Hours_per_Week]],20)/20*100*10%</f>
        <v>25.7532</v>
      </c>
      <c r="N857" s="3" t="str" cm="1">
        <f t="array" ref="N85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57" s="3" t="str">
        <f t="shared" si="26"/>
        <v>High Risk</v>
      </c>
      <c r="P857" s="3" t="str">
        <f t="shared" si="27"/>
        <v>21-23</v>
      </c>
    </row>
    <row r="858" spans="1:16">
      <c r="A858" t="s">
        <v>892</v>
      </c>
      <c r="B858">
        <v>20</v>
      </c>
      <c r="C858" t="s">
        <v>6</v>
      </c>
      <c r="D858">
        <v>95.12</v>
      </c>
      <c r="E858">
        <v>3</v>
      </c>
      <c r="F858">
        <v>1.95</v>
      </c>
      <c r="G858">
        <v>6.97</v>
      </c>
      <c r="H858">
        <v>55.42</v>
      </c>
      <c r="I858">
        <v>1</v>
      </c>
      <c r="J858">
        <v>3</v>
      </c>
      <c r="K858">
        <f>(StudentData[[#This Row],[Midterm_Grade]]*40%)+(StudentData[[#This Row],[Final_Grade]]*60%)</f>
        <v>36.040000000000006</v>
      </c>
      <c r="L858">
        <f>StudentData[[#This Row],[Attendance_Percentage]]*40%+StudentData[[#This Row],[Assignments_Completed]]*2+StudentData[[#This Row],[Class_Participation]]*2+StudentData[[#This Row],[Projects_Submitted]]*4</f>
        <v>59.948</v>
      </c>
      <c r="M858">
        <f>StudentData[[#This Row],[Academic_Score]]*60%+StudentData[[#This Row],[Engagement_Score]]*30%+MIN(StudentData[[#This Row],[Study_Hours_per_Week]],20)/20*100*10%</f>
        <v>40.108400000000003</v>
      </c>
      <c r="N858" s="3" t="str" cm="1">
        <f t="array" ref="N85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58" s="3" t="str">
        <f t="shared" si="26"/>
        <v>Medium Risk</v>
      </c>
      <c r="P858" s="3" t="str">
        <f t="shared" si="27"/>
        <v>18-20</v>
      </c>
    </row>
    <row r="859" spans="1:16">
      <c r="A859" t="s">
        <v>893</v>
      </c>
      <c r="B859">
        <v>20</v>
      </c>
      <c r="C859" t="s">
        <v>5</v>
      </c>
      <c r="D859">
        <v>53.32</v>
      </c>
      <c r="E859">
        <v>10</v>
      </c>
      <c r="F859">
        <v>6.52</v>
      </c>
      <c r="G859">
        <v>89.34</v>
      </c>
      <c r="H859">
        <v>58.79</v>
      </c>
      <c r="I859">
        <v>1</v>
      </c>
      <c r="J859">
        <v>0</v>
      </c>
      <c r="K859">
        <f>(StudentData[[#This Row],[Midterm_Grade]]*40%)+(StudentData[[#This Row],[Final_Grade]]*60%)</f>
        <v>71.010000000000005</v>
      </c>
      <c r="L859">
        <f>StudentData[[#This Row],[Attendance_Percentage]]*40%+StudentData[[#This Row],[Assignments_Completed]]*2+StudentData[[#This Row],[Class_Participation]]*2+StudentData[[#This Row],[Projects_Submitted]]*4</f>
        <v>54.368000000000002</v>
      </c>
      <c r="M859">
        <f>StudentData[[#This Row],[Academic_Score]]*60%+StudentData[[#This Row],[Engagement_Score]]*30%+MIN(StudentData[[#This Row],[Study_Hours_per_Week]],20)/20*100*10%</f>
        <v>59.416400000000003</v>
      </c>
      <c r="N859" s="3" t="str" cm="1">
        <f t="array" ref="N859">_xlfn.IFS(StudentData[[#This Row],[Success_Score]]&gt;=85,"Exceptional",StudentData[[#This Row],[Success_Score]]&gt;=70,"Strong",StudentData[[#This Row],[Success_Score]]&gt;=55,"Developing",TRUE,"Needs Improvement")</f>
        <v>Developing</v>
      </c>
      <c r="O859" s="3" t="str">
        <f t="shared" si="26"/>
        <v>Medium Risk</v>
      </c>
      <c r="P859" s="3" t="str">
        <f t="shared" si="27"/>
        <v>18-20</v>
      </c>
    </row>
    <row r="860" spans="1:16">
      <c r="A860" t="s">
        <v>894</v>
      </c>
      <c r="B860">
        <v>19</v>
      </c>
      <c r="C860" t="s">
        <v>5</v>
      </c>
      <c r="D860">
        <v>76.7</v>
      </c>
      <c r="E860">
        <v>8</v>
      </c>
      <c r="F860">
        <v>7.81</v>
      </c>
      <c r="G860">
        <v>38.78</v>
      </c>
      <c r="H860">
        <v>93.45</v>
      </c>
      <c r="I860">
        <v>15</v>
      </c>
      <c r="J860">
        <v>5</v>
      </c>
      <c r="K860">
        <f>(StudentData[[#This Row],[Midterm_Grade]]*40%)+(StudentData[[#This Row],[Final_Grade]]*60%)</f>
        <v>71.581999999999994</v>
      </c>
      <c r="L860">
        <f>StudentData[[#This Row],[Attendance_Percentage]]*40%+StudentData[[#This Row],[Assignments_Completed]]*2+StudentData[[#This Row],[Class_Participation]]*2+StudentData[[#This Row],[Projects_Submitted]]*4</f>
        <v>82.300000000000011</v>
      </c>
      <c r="M860">
        <f>StudentData[[#This Row],[Academic_Score]]*60%+StudentData[[#This Row],[Engagement_Score]]*30%+MIN(StudentData[[#This Row],[Study_Hours_per_Week]],20)/20*100*10%</f>
        <v>75.139200000000002</v>
      </c>
      <c r="N860" s="3" t="str" cm="1">
        <f t="array" ref="N860">_xlfn.IFS(StudentData[[#This Row],[Success_Score]]&gt;=85,"Exceptional",StudentData[[#This Row],[Success_Score]]&gt;=70,"Strong",StudentData[[#This Row],[Success_Score]]&gt;=55,"Developing",TRUE,"Needs Improvement")</f>
        <v>Strong</v>
      </c>
      <c r="O860" s="3" t="str">
        <f t="shared" si="26"/>
        <v>Low Risk</v>
      </c>
      <c r="P860" s="3" t="str">
        <f t="shared" si="27"/>
        <v>18-20</v>
      </c>
    </row>
    <row r="861" spans="1:16">
      <c r="A861" t="s">
        <v>895</v>
      </c>
      <c r="B861">
        <v>24</v>
      </c>
      <c r="C861" t="s">
        <v>4</v>
      </c>
      <c r="D861">
        <v>57.11</v>
      </c>
      <c r="E861">
        <v>10</v>
      </c>
      <c r="F861">
        <v>7.91</v>
      </c>
      <c r="G861">
        <v>28.79</v>
      </c>
      <c r="H861">
        <v>72.61</v>
      </c>
      <c r="I861">
        <v>8</v>
      </c>
      <c r="J861">
        <v>3</v>
      </c>
      <c r="K861">
        <f>(StudentData[[#This Row],[Midterm_Grade]]*40%)+(StudentData[[#This Row],[Final_Grade]]*60%)</f>
        <v>55.081999999999994</v>
      </c>
      <c r="L861">
        <f>StudentData[[#This Row],[Attendance_Percentage]]*40%+StudentData[[#This Row],[Assignments_Completed]]*2+StudentData[[#This Row],[Class_Participation]]*2+StudentData[[#This Row],[Projects_Submitted]]*4</f>
        <v>70.664000000000001</v>
      </c>
      <c r="M861">
        <f>StudentData[[#This Row],[Academic_Score]]*60%+StudentData[[#This Row],[Engagement_Score]]*30%+MIN(StudentData[[#This Row],[Study_Hours_per_Week]],20)/20*100*10%</f>
        <v>58.24839999999999</v>
      </c>
      <c r="N861" s="3" t="str" cm="1">
        <f t="array" ref="N861">_xlfn.IFS(StudentData[[#This Row],[Success_Score]]&gt;=85,"Exceptional",StudentData[[#This Row],[Success_Score]]&gt;=70,"Strong",StudentData[[#This Row],[Success_Score]]&gt;=55,"Developing",TRUE,"Needs Improvement")</f>
        <v>Developing</v>
      </c>
      <c r="O861" s="3" t="str">
        <f t="shared" si="26"/>
        <v>Medium Risk</v>
      </c>
      <c r="P861" s="3" t="str">
        <f t="shared" si="27"/>
        <v>24-25</v>
      </c>
    </row>
    <row r="862" spans="1:16">
      <c r="A862" t="s">
        <v>896</v>
      </c>
      <c r="B862">
        <v>21</v>
      </c>
      <c r="C862" t="s">
        <v>6</v>
      </c>
      <c r="D862">
        <v>50.59</v>
      </c>
      <c r="E862">
        <v>9</v>
      </c>
      <c r="F862">
        <v>6.02</v>
      </c>
      <c r="G862">
        <v>72.47</v>
      </c>
      <c r="H862">
        <v>91.78</v>
      </c>
      <c r="I862">
        <v>12</v>
      </c>
      <c r="J862">
        <v>5</v>
      </c>
      <c r="K862">
        <f>(StudentData[[#This Row],[Midterm_Grade]]*40%)+(StudentData[[#This Row],[Final_Grade]]*60%)</f>
        <v>84.055999999999997</v>
      </c>
      <c r="L862">
        <f>StudentData[[#This Row],[Attendance_Percentage]]*40%+StudentData[[#This Row],[Assignments_Completed]]*2+StudentData[[#This Row],[Class_Participation]]*2+StudentData[[#This Row],[Projects_Submitted]]*4</f>
        <v>70.27600000000001</v>
      </c>
      <c r="M862">
        <f>StudentData[[#This Row],[Academic_Score]]*60%+StudentData[[#This Row],[Engagement_Score]]*30%+MIN(StudentData[[#This Row],[Study_Hours_per_Week]],20)/20*100*10%</f>
        <v>77.516400000000004</v>
      </c>
      <c r="N862" s="3" t="str" cm="1">
        <f t="array" ref="N862">_xlfn.IFS(StudentData[[#This Row],[Success_Score]]&gt;=85,"Exceptional",StudentData[[#This Row],[Success_Score]]&gt;=70,"Strong",StudentData[[#This Row],[Success_Score]]&gt;=55,"Developing",TRUE,"Needs Improvement")</f>
        <v>Strong</v>
      </c>
      <c r="O862" s="3" t="str">
        <f t="shared" si="26"/>
        <v>Medium Risk</v>
      </c>
      <c r="P862" s="3" t="str">
        <f t="shared" si="27"/>
        <v>21-23</v>
      </c>
    </row>
    <row r="863" spans="1:16">
      <c r="A863" t="s">
        <v>897</v>
      </c>
      <c r="B863">
        <v>18</v>
      </c>
      <c r="C863" t="s">
        <v>5</v>
      </c>
      <c r="D863">
        <v>71.099999999999994</v>
      </c>
      <c r="E863">
        <v>2</v>
      </c>
      <c r="F863">
        <v>5.12</v>
      </c>
      <c r="G863">
        <v>83.64</v>
      </c>
      <c r="H863">
        <v>90.83</v>
      </c>
      <c r="I863">
        <v>2</v>
      </c>
      <c r="J863">
        <v>3</v>
      </c>
      <c r="K863">
        <f>(StudentData[[#This Row],[Midterm_Grade]]*40%)+(StudentData[[#This Row],[Final_Grade]]*60%)</f>
        <v>87.954000000000008</v>
      </c>
      <c r="L863">
        <f>StudentData[[#This Row],[Attendance_Percentage]]*40%+StudentData[[#This Row],[Assignments_Completed]]*2+StudentData[[#This Row],[Class_Participation]]*2+StudentData[[#This Row],[Projects_Submitted]]*4</f>
        <v>54.68</v>
      </c>
      <c r="M863">
        <f>StudentData[[#This Row],[Academic_Score]]*60%+StudentData[[#This Row],[Engagement_Score]]*30%+MIN(StudentData[[#This Row],[Study_Hours_per_Week]],20)/20*100*10%</f>
        <v>70.176400000000001</v>
      </c>
      <c r="N863" s="3" t="str" cm="1">
        <f t="array" ref="N863">_xlfn.IFS(StudentData[[#This Row],[Success_Score]]&gt;=85,"Exceptional",StudentData[[#This Row],[Success_Score]]&gt;=70,"Strong",StudentData[[#This Row],[Success_Score]]&gt;=55,"Developing",TRUE,"Needs Improvement")</f>
        <v>Strong</v>
      </c>
      <c r="O863" s="3" t="str">
        <f t="shared" si="26"/>
        <v>Low Risk</v>
      </c>
      <c r="P863" s="3" t="str">
        <f t="shared" si="27"/>
        <v>18-20</v>
      </c>
    </row>
    <row r="864" spans="1:16">
      <c r="A864" t="s">
        <v>898</v>
      </c>
      <c r="B864">
        <v>19</v>
      </c>
      <c r="C864" t="s">
        <v>4</v>
      </c>
      <c r="D864">
        <v>64.75</v>
      </c>
      <c r="E864">
        <v>7</v>
      </c>
      <c r="F864">
        <v>0.61</v>
      </c>
      <c r="G864">
        <v>86.25</v>
      </c>
      <c r="H864">
        <v>60.46</v>
      </c>
      <c r="I864">
        <v>8</v>
      </c>
      <c r="J864">
        <v>2</v>
      </c>
      <c r="K864">
        <f>(StudentData[[#This Row],[Midterm_Grade]]*40%)+(StudentData[[#This Row],[Final_Grade]]*60%)</f>
        <v>70.775999999999996</v>
      </c>
      <c r="L864">
        <f>StudentData[[#This Row],[Attendance_Percentage]]*40%+StudentData[[#This Row],[Assignments_Completed]]*2+StudentData[[#This Row],[Class_Participation]]*2+StudentData[[#This Row],[Projects_Submitted]]*4</f>
        <v>49.120000000000005</v>
      </c>
      <c r="M864">
        <f>StudentData[[#This Row],[Academic_Score]]*60%+StudentData[[#This Row],[Engagement_Score]]*30%+MIN(StudentData[[#This Row],[Study_Hours_per_Week]],20)/20*100*10%</f>
        <v>61.201599999999999</v>
      </c>
      <c r="N864" s="3" t="str" cm="1">
        <f t="array" ref="N864">_xlfn.IFS(StudentData[[#This Row],[Success_Score]]&gt;=85,"Exceptional",StudentData[[#This Row],[Success_Score]]&gt;=70,"Strong",StudentData[[#This Row],[Success_Score]]&gt;=55,"Developing",TRUE,"Needs Improvement")</f>
        <v>Developing</v>
      </c>
      <c r="O864" s="3" t="str">
        <f t="shared" si="26"/>
        <v>Medium Risk</v>
      </c>
      <c r="P864" s="3" t="str">
        <f t="shared" si="27"/>
        <v>18-20</v>
      </c>
    </row>
    <row r="865" spans="1:16">
      <c r="A865" t="s">
        <v>899</v>
      </c>
      <c r="B865">
        <v>19</v>
      </c>
      <c r="C865" t="s">
        <v>4</v>
      </c>
      <c r="D865">
        <v>74.3</v>
      </c>
      <c r="E865">
        <v>0</v>
      </c>
      <c r="F865">
        <v>2.88</v>
      </c>
      <c r="G865">
        <v>31.6</v>
      </c>
      <c r="H865">
        <v>52.78</v>
      </c>
      <c r="I865">
        <v>12</v>
      </c>
      <c r="J865">
        <v>2</v>
      </c>
      <c r="K865">
        <f>(StudentData[[#This Row],[Midterm_Grade]]*40%)+(StudentData[[#This Row],[Final_Grade]]*60%)</f>
        <v>44.308</v>
      </c>
      <c r="L865">
        <f>StudentData[[#This Row],[Attendance_Percentage]]*40%+StudentData[[#This Row],[Assignments_Completed]]*2+StudentData[[#This Row],[Class_Participation]]*2+StudentData[[#This Row],[Projects_Submitted]]*4</f>
        <v>43.48</v>
      </c>
      <c r="M865">
        <f>StudentData[[#This Row],[Academic_Score]]*60%+StudentData[[#This Row],[Engagement_Score]]*30%+MIN(StudentData[[#This Row],[Study_Hours_per_Week]],20)/20*100*10%</f>
        <v>45.628799999999998</v>
      </c>
      <c r="N865" s="3" t="str" cm="1">
        <f t="array" ref="N86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65" s="3" t="str">
        <f t="shared" si="26"/>
        <v>Medium Risk</v>
      </c>
      <c r="P865" s="3" t="str">
        <f t="shared" si="27"/>
        <v>18-20</v>
      </c>
    </row>
    <row r="866" spans="1:16">
      <c r="A866" t="s">
        <v>900</v>
      </c>
      <c r="B866">
        <v>21</v>
      </c>
      <c r="C866" t="s">
        <v>4</v>
      </c>
      <c r="D866">
        <v>78.86</v>
      </c>
      <c r="E866">
        <v>10</v>
      </c>
      <c r="F866">
        <v>0.93</v>
      </c>
      <c r="G866">
        <v>85.22</v>
      </c>
      <c r="H866">
        <v>55.74</v>
      </c>
      <c r="I866">
        <v>1</v>
      </c>
      <c r="J866">
        <v>1</v>
      </c>
      <c r="K866">
        <f>(StudentData[[#This Row],[Midterm_Grade]]*40%)+(StudentData[[#This Row],[Final_Grade]]*60%)</f>
        <v>67.532000000000011</v>
      </c>
      <c r="L866">
        <f>StudentData[[#This Row],[Attendance_Percentage]]*40%+StudentData[[#This Row],[Assignments_Completed]]*2+StudentData[[#This Row],[Class_Participation]]*2+StudentData[[#This Row],[Projects_Submitted]]*4</f>
        <v>57.403999999999996</v>
      </c>
      <c r="M866">
        <f>StudentData[[#This Row],[Academic_Score]]*60%+StudentData[[#This Row],[Engagement_Score]]*30%+MIN(StudentData[[#This Row],[Study_Hours_per_Week]],20)/20*100*10%</f>
        <v>58.240400000000008</v>
      </c>
      <c r="N866" s="3" t="str" cm="1">
        <f t="array" ref="N866">_xlfn.IFS(StudentData[[#This Row],[Success_Score]]&gt;=85,"Exceptional",StudentData[[#This Row],[Success_Score]]&gt;=70,"Strong",StudentData[[#This Row],[Success_Score]]&gt;=55,"Developing",TRUE,"Needs Improvement")</f>
        <v>Developing</v>
      </c>
      <c r="O866" s="3" t="str">
        <f t="shared" si="26"/>
        <v>Low Risk</v>
      </c>
      <c r="P866" s="3" t="str">
        <f t="shared" si="27"/>
        <v>21-23</v>
      </c>
    </row>
    <row r="867" spans="1:16">
      <c r="A867" t="s">
        <v>901</v>
      </c>
      <c r="B867">
        <v>18</v>
      </c>
      <c r="C867" t="s">
        <v>5</v>
      </c>
      <c r="D867">
        <v>52.19</v>
      </c>
      <c r="E867">
        <v>8</v>
      </c>
      <c r="F867">
        <v>9.64</v>
      </c>
      <c r="G867">
        <v>4.09</v>
      </c>
      <c r="H867">
        <v>97.83</v>
      </c>
      <c r="I867">
        <v>7</v>
      </c>
      <c r="J867">
        <v>1</v>
      </c>
      <c r="K867">
        <f>(StudentData[[#This Row],[Midterm_Grade]]*40%)+(StudentData[[#This Row],[Final_Grade]]*60%)</f>
        <v>60.333999999999996</v>
      </c>
      <c r="L867">
        <f>StudentData[[#This Row],[Attendance_Percentage]]*40%+StudentData[[#This Row],[Assignments_Completed]]*2+StudentData[[#This Row],[Class_Participation]]*2+StudentData[[#This Row],[Projects_Submitted]]*4</f>
        <v>60.156000000000006</v>
      </c>
      <c r="M867">
        <f>StudentData[[#This Row],[Academic_Score]]*60%+StudentData[[#This Row],[Engagement_Score]]*30%+MIN(StudentData[[#This Row],[Study_Hours_per_Week]],20)/20*100*10%</f>
        <v>57.747199999999992</v>
      </c>
      <c r="N867" s="3" t="str" cm="1">
        <f t="array" ref="N867">_xlfn.IFS(StudentData[[#This Row],[Success_Score]]&gt;=85,"Exceptional",StudentData[[#This Row],[Success_Score]]&gt;=70,"Strong",StudentData[[#This Row],[Success_Score]]&gt;=55,"Developing",TRUE,"Needs Improvement")</f>
        <v>Developing</v>
      </c>
      <c r="O867" s="3" t="str">
        <f t="shared" si="26"/>
        <v>Medium Risk</v>
      </c>
      <c r="P867" s="3" t="str">
        <f t="shared" si="27"/>
        <v>18-20</v>
      </c>
    </row>
    <row r="868" spans="1:16">
      <c r="A868" t="s">
        <v>902</v>
      </c>
      <c r="B868">
        <v>22</v>
      </c>
      <c r="C868" t="s">
        <v>4</v>
      </c>
      <c r="D868">
        <v>56.15</v>
      </c>
      <c r="E868">
        <v>8</v>
      </c>
      <c r="F868">
        <v>1.35</v>
      </c>
      <c r="G868">
        <v>4.97</v>
      </c>
      <c r="H868">
        <v>77.319999999999993</v>
      </c>
      <c r="I868">
        <v>8</v>
      </c>
      <c r="J868">
        <v>3</v>
      </c>
      <c r="K868">
        <f>(StudentData[[#This Row],[Midterm_Grade]]*40%)+(StudentData[[#This Row],[Final_Grade]]*60%)</f>
        <v>48.379999999999995</v>
      </c>
      <c r="L868">
        <f>StudentData[[#This Row],[Attendance_Percentage]]*40%+StudentData[[#This Row],[Assignments_Completed]]*2+StudentData[[#This Row],[Class_Participation]]*2+StudentData[[#This Row],[Projects_Submitted]]*4</f>
        <v>53.160000000000004</v>
      </c>
      <c r="M868">
        <f>StudentData[[#This Row],[Academic_Score]]*60%+StudentData[[#This Row],[Engagement_Score]]*30%+MIN(StudentData[[#This Row],[Study_Hours_per_Week]],20)/20*100*10%</f>
        <v>48.975999999999999</v>
      </c>
      <c r="N868" s="3" t="str" cm="1">
        <f t="array" ref="N86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68" s="3" t="str">
        <f t="shared" si="26"/>
        <v>High Risk</v>
      </c>
      <c r="P868" s="3" t="str">
        <f t="shared" si="27"/>
        <v>21-23</v>
      </c>
    </row>
    <row r="869" spans="1:16">
      <c r="A869" t="s">
        <v>903</v>
      </c>
      <c r="B869">
        <v>23</v>
      </c>
      <c r="C869" t="s">
        <v>6</v>
      </c>
      <c r="D869">
        <v>77.930000000000007</v>
      </c>
      <c r="E869">
        <v>9</v>
      </c>
      <c r="F869">
        <v>1.52</v>
      </c>
      <c r="G869">
        <v>62.35</v>
      </c>
      <c r="H869">
        <v>10.63</v>
      </c>
      <c r="I869">
        <v>15</v>
      </c>
      <c r="J869">
        <v>0</v>
      </c>
      <c r="K869">
        <f>(StudentData[[#This Row],[Midterm_Grade]]*40%)+(StudentData[[#This Row],[Final_Grade]]*60%)</f>
        <v>31.318000000000001</v>
      </c>
      <c r="L869">
        <f>StudentData[[#This Row],[Attendance_Percentage]]*40%+StudentData[[#This Row],[Assignments_Completed]]*2+StudentData[[#This Row],[Class_Participation]]*2+StudentData[[#This Row],[Projects_Submitted]]*4</f>
        <v>52.212000000000003</v>
      </c>
      <c r="M869">
        <f>StudentData[[#This Row],[Academic_Score]]*60%+StudentData[[#This Row],[Engagement_Score]]*30%+MIN(StudentData[[#This Row],[Study_Hours_per_Week]],20)/20*100*10%</f>
        <v>41.9544</v>
      </c>
      <c r="N869" s="3" t="str" cm="1">
        <f t="array" ref="N86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69" s="3" t="str">
        <f t="shared" si="26"/>
        <v>Medium Risk</v>
      </c>
      <c r="P869" s="3" t="str">
        <f t="shared" si="27"/>
        <v>21-23</v>
      </c>
    </row>
    <row r="870" spans="1:16">
      <c r="A870" t="s">
        <v>904</v>
      </c>
      <c r="B870">
        <v>24</v>
      </c>
      <c r="C870" t="s">
        <v>5</v>
      </c>
      <c r="D870">
        <v>67.16</v>
      </c>
      <c r="E870">
        <v>1</v>
      </c>
      <c r="F870">
        <v>8.9</v>
      </c>
      <c r="G870">
        <v>6.31</v>
      </c>
      <c r="H870">
        <v>77.84</v>
      </c>
      <c r="I870">
        <v>1</v>
      </c>
      <c r="J870">
        <v>4</v>
      </c>
      <c r="K870">
        <f>(StudentData[[#This Row],[Midterm_Grade]]*40%)+(StudentData[[#This Row],[Final_Grade]]*60%)</f>
        <v>49.228000000000002</v>
      </c>
      <c r="L870">
        <f>StudentData[[#This Row],[Attendance_Percentage]]*40%+StudentData[[#This Row],[Assignments_Completed]]*2+StudentData[[#This Row],[Class_Participation]]*2+StudentData[[#This Row],[Projects_Submitted]]*4</f>
        <v>62.664000000000001</v>
      </c>
      <c r="M870">
        <f>StudentData[[#This Row],[Academic_Score]]*60%+StudentData[[#This Row],[Engagement_Score]]*30%+MIN(StudentData[[#This Row],[Study_Hours_per_Week]],20)/20*100*10%</f>
        <v>48.835999999999999</v>
      </c>
      <c r="N870" s="3" t="str" cm="1">
        <f t="array" ref="N87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70" s="3" t="str">
        <f t="shared" si="26"/>
        <v>Medium Risk</v>
      </c>
      <c r="P870" s="3" t="str">
        <f t="shared" si="27"/>
        <v>24-25</v>
      </c>
    </row>
    <row r="871" spans="1:16">
      <c r="A871" t="s">
        <v>905</v>
      </c>
      <c r="B871">
        <v>23</v>
      </c>
      <c r="C871" t="s">
        <v>5</v>
      </c>
      <c r="D871">
        <v>86.46</v>
      </c>
      <c r="E871">
        <v>3</v>
      </c>
      <c r="F871">
        <v>9.44</v>
      </c>
      <c r="G871">
        <v>32.46</v>
      </c>
      <c r="H871">
        <v>17.05</v>
      </c>
      <c r="I871">
        <v>5</v>
      </c>
      <c r="J871">
        <v>4</v>
      </c>
      <c r="K871">
        <f>(StudentData[[#This Row],[Midterm_Grade]]*40%)+(StudentData[[#This Row],[Final_Grade]]*60%)</f>
        <v>23.214000000000002</v>
      </c>
      <c r="L871">
        <f>StudentData[[#This Row],[Attendance_Percentage]]*40%+StudentData[[#This Row],[Assignments_Completed]]*2+StudentData[[#This Row],[Class_Participation]]*2+StudentData[[#This Row],[Projects_Submitted]]*4</f>
        <v>75.463999999999999</v>
      </c>
      <c r="M871">
        <f>StudentData[[#This Row],[Academic_Score]]*60%+StudentData[[#This Row],[Engagement_Score]]*30%+MIN(StudentData[[#This Row],[Study_Hours_per_Week]],20)/20*100*10%</f>
        <v>39.067599999999999</v>
      </c>
      <c r="N871" s="3" t="str" cm="1">
        <f t="array" ref="N87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71" s="3" t="str">
        <f t="shared" si="26"/>
        <v>Medium Risk</v>
      </c>
      <c r="P871" s="3" t="str">
        <f t="shared" si="27"/>
        <v>21-23</v>
      </c>
    </row>
    <row r="872" spans="1:16">
      <c r="A872" t="s">
        <v>906</v>
      </c>
      <c r="B872">
        <v>22</v>
      </c>
      <c r="C872" t="s">
        <v>6</v>
      </c>
      <c r="D872">
        <v>82.61</v>
      </c>
      <c r="E872">
        <v>7</v>
      </c>
      <c r="F872">
        <v>7.66</v>
      </c>
      <c r="G872">
        <v>67.28</v>
      </c>
      <c r="H872">
        <v>44.74</v>
      </c>
      <c r="I872">
        <v>7</v>
      </c>
      <c r="J872">
        <v>0</v>
      </c>
      <c r="K872">
        <f>(StudentData[[#This Row],[Midterm_Grade]]*40%)+(StudentData[[#This Row],[Final_Grade]]*60%)</f>
        <v>53.756</v>
      </c>
      <c r="L872">
        <f>StudentData[[#This Row],[Attendance_Percentage]]*40%+StudentData[[#This Row],[Assignments_Completed]]*2+StudentData[[#This Row],[Class_Participation]]*2+StudentData[[#This Row],[Projects_Submitted]]*4</f>
        <v>62.364000000000004</v>
      </c>
      <c r="M872">
        <f>StudentData[[#This Row],[Academic_Score]]*60%+StudentData[[#This Row],[Engagement_Score]]*30%+MIN(StudentData[[#This Row],[Study_Hours_per_Week]],20)/20*100*10%</f>
        <v>54.462800000000001</v>
      </c>
      <c r="N872" s="3" t="str" cm="1">
        <f t="array" ref="N87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72" s="3" t="str">
        <f t="shared" si="26"/>
        <v>Medium Risk</v>
      </c>
      <c r="P872" s="3" t="str">
        <f t="shared" si="27"/>
        <v>21-23</v>
      </c>
    </row>
    <row r="873" spans="1:16">
      <c r="A873" t="s">
        <v>907</v>
      </c>
      <c r="B873">
        <v>25</v>
      </c>
      <c r="C873" t="s">
        <v>5</v>
      </c>
      <c r="D873">
        <v>92.28</v>
      </c>
      <c r="E873">
        <v>6</v>
      </c>
      <c r="F873">
        <v>0.05</v>
      </c>
      <c r="G873">
        <v>33.729999999999997</v>
      </c>
      <c r="H873">
        <v>21.05</v>
      </c>
      <c r="I873">
        <v>4</v>
      </c>
      <c r="J873">
        <v>0</v>
      </c>
      <c r="K873">
        <f>(StudentData[[#This Row],[Midterm_Grade]]*40%)+(StudentData[[#This Row],[Final_Grade]]*60%)</f>
        <v>26.122</v>
      </c>
      <c r="L873">
        <f>StudentData[[#This Row],[Attendance_Percentage]]*40%+StudentData[[#This Row],[Assignments_Completed]]*2+StudentData[[#This Row],[Class_Participation]]*2+StudentData[[#This Row],[Projects_Submitted]]*4</f>
        <v>49.012</v>
      </c>
      <c r="M873">
        <f>StudentData[[#This Row],[Academic_Score]]*60%+StudentData[[#This Row],[Engagement_Score]]*30%+MIN(StudentData[[#This Row],[Study_Hours_per_Week]],20)/20*100*10%</f>
        <v>32.376800000000003</v>
      </c>
      <c r="N873" s="3" t="str" cm="1">
        <f t="array" ref="N87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73" s="3" t="str">
        <f t="shared" si="26"/>
        <v>Medium Risk</v>
      </c>
      <c r="P873" s="3" t="str">
        <f t="shared" si="27"/>
        <v>24-25</v>
      </c>
    </row>
    <row r="874" spans="1:16">
      <c r="A874" t="s">
        <v>908</v>
      </c>
      <c r="B874">
        <v>19</v>
      </c>
      <c r="C874" t="s">
        <v>4</v>
      </c>
      <c r="D874">
        <v>84.62</v>
      </c>
      <c r="E874">
        <v>0</v>
      </c>
      <c r="F874">
        <v>0.01</v>
      </c>
      <c r="G874">
        <v>17.96</v>
      </c>
      <c r="H874">
        <v>68.959999999999994</v>
      </c>
      <c r="I874">
        <v>8</v>
      </c>
      <c r="J874">
        <v>2</v>
      </c>
      <c r="K874">
        <f>(StudentData[[#This Row],[Midterm_Grade]]*40%)+(StudentData[[#This Row],[Final_Grade]]*60%)</f>
        <v>48.56</v>
      </c>
      <c r="L874">
        <f>StudentData[[#This Row],[Attendance_Percentage]]*40%+StudentData[[#This Row],[Assignments_Completed]]*2+StudentData[[#This Row],[Class_Participation]]*2+StudentData[[#This Row],[Projects_Submitted]]*4</f>
        <v>41.868000000000009</v>
      </c>
      <c r="M874">
        <f>StudentData[[#This Row],[Academic_Score]]*60%+StudentData[[#This Row],[Engagement_Score]]*30%+MIN(StudentData[[#This Row],[Study_Hours_per_Week]],20)/20*100*10%</f>
        <v>45.696400000000004</v>
      </c>
      <c r="N874" s="3" t="str" cm="1">
        <f t="array" ref="N87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74" s="3" t="str">
        <f t="shared" si="26"/>
        <v>Medium Risk</v>
      </c>
      <c r="P874" s="3" t="str">
        <f t="shared" si="27"/>
        <v>18-20</v>
      </c>
    </row>
    <row r="875" spans="1:16">
      <c r="A875" t="s">
        <v>909</v>
      </c>
      <c r="B875">
        <v>18</v>
      </c>
      <c r="C875" t="s">
        <v>4</v>
      </c>
      <c r="D875">
        <v>71.5</v>
      </c>
      <c r="E875">
        <v>4</v>
      </c>
      <c r="F875">
        <v>3.78</v>
      </c>
      <c r="G875">
        <v>28.14</v>
      </c>
      <c r="H875">
        <v>87.73</v>
      </c>
      <c r="I875">
        <v>0</v>
      </c>
      <c r="J875">
        <v>4</v>
      </c>
      <c r="K875">
        <f>(StudentData[[#This Row],[Midterm_Grade]]*40%)+(StudentData[[#This Row],[Final_Grade]]*60%)</f>
        <v>63.893999999999998</v>
      </c>
      <c r="L875">
        <f>StudentData[[#This Row],[Attendance_Percentage]]*40%+StudentData[[#This Row],[Assignments_Completed]]*2+StudentData[[#This Row],[Class_Participation]]*2+StudentData[[#This Row],[Projects_Submitted]]*4</f>
        <v>60.160000000000004</v>
      </c>
      <c r="M875">
        <f>StudentData[[#This Row],[Academic_Score]]*60%+StudentData[[#This Row],[Engagement_Score]]*30%+MIN(StudentData[[#This Row],[Study_Hours_per_Week]],20)/20*100*10%</f>
        <v>56.384399999999999</v>
      </c>
      <c r="N875" s="3" t="str" cm="1">
        <f t="array" ref="N875">_xlfn.IFS(StudentData[[#This Row],[Success_Score]]&gt;=85,"Exceptional",StudentData[[#This Row],[Success_Score]]&gt;=70,"Strong",StudentData[[#This Row],[Success_Score]]&gt;=55,"Developing",TRUE,"Needs Improvement")</f>
        <v>Developing</v>
      </c>
      <c r="O875" s="3" t="str">
        <f t="shared" si="26"/>
        <v>Low Risk</v>
      </c>
      <c r="P875" s="3" t="str">
        <f t="shared" si="27"/>
        <v>18-20</v>
      </c>
    </row>
    <row r="876" spans="1:16">
      <c r="A876" t="s">
        <v>910</v>
      </c>
      <c r="B876">
        <v>19</v>
      </c>
      <c r="C876" t="s">
        <v>5</v>
      </c>
      <c r="D876">
        <v>83.65</v>
      </c>
      <c r="E876">
        <v>6</v>
      </c>
      <c r="F876">
        <v>1.43</v>
      </c>
      <c r="G876">
        <v>45.76</v>
      </c>
      <c r="H876">
        <v>29.04</v>
      </c>
      <c r="I876">
        <v>8</v>
      </c>
      <c r="J876">
        <v>3</v>
      </c>
      <c r="K876">
        <f>(StudentData[[#This Row],[Midterm_Grade]]*40%)+(StudentData[[#This Row],[Final_Grade]]*60%)</f>
        <v>35.727999999999994</v>
      </c>
      <c r="L876">
        <f>StudentData[[#This Row],[Attendance_Percentage]]*40%+StudentData[[#This Row],[Assignments_Completed]]*2+StudentData[[#This Row],[Class_Participation]]*2+StudentData[[#This Row],[Projects_Submitted]]*4</f>
        <v>60.32</v>
      </c>
      <c r="M876">
        <f>StudentData[[#This Row],[Academic_Score]]*60%+StudentData[[#This Row],[Engagement_Score]]*30%+MIN(StudentData[[#This Row],[Study_Hours_per_Week]],20)/20*100*10%</f>
        <v>43.532799999999995</v>
      </c>
      <c r="N876" s="3" t="str" cm="1">
        <f t="array" ref="N87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76" s="3" t="str">
        <f t="shared" si="26"/>
        <v>Medium Risk</v>
      </c>
      <c r="P876" s="3" t="str">
        <f t="shared" si="27"/>
        <v>18-20</v>
      </c>
    </row>
    <row r="877" spans="1:16">
      <c r="A877" t="s">
        <v>911</v>
      </c>
      <c r="B877">
        <v>20</v>
      </c>
      <c r="C877" t="s">
        <v>4</v>
      </c>
      <c r="D877">
        <v>63.77</v>
      </c>
      <c r="E877">
        <v>3</v>
      </c>
      <c r="F877">
        <v>0.18</v>
      </c>
      <c r="G877">
        <v>47.54</v>
      </c>
      <c r="H877">
        <v>8.1999999999999993</v>
      </c>
      <c r="I877">
        <v>9</v>
      </c>
      <c r="J877">
        <v>5</v>
      </c>
      <c r="K877">
        <f>(StudentData[[#This Row],[Midterm_Grade]]*40%)+(StudentData[[#This Row],[Final_Grade]]*60%)</f>
        <v>23.936</v>
      </c>
      <c r="L877">
        <f>StudentData[[#This Row],[Attendance_Percentage]]*40%+StudentData[[#This Row],[Assignments_Completed]]*2+StudentData[[#This Row],[Class_Participation]]*2+StudentData[[#This Row],[Projects_Submitted]]*4</f>
        <v>51.868000000000002</v>
      </c>
      <c r="M877">
        <f>StudentData[[#This Row],[Academic_Score]]*60%+StudentData[[#This Row],[Engagement_Score]]*30%+MIN(StudentData[[#This Row],[Study_Hours_per_Week]],20)/20*100*10%</f>
        <v>34.421999999999997</v>
      </c>
      <c r="N877" s="3" t="str" cm="1">
        <f t="array" ref="N87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77" s="3" t="str">
        <f t="shared" si="26"/>
        <v>Medium Risk</v>
      </c>
      <c r="P877" s="3" t="str">
        <f t="shared" si="27"/>
        <v>18-20</v>
      </c>
    </row>
    <row r="878" spans="1:16">
      <c r="A878" t="s">
        <v>912</v>
      </c>
      <c r="B878">
        <v>19</v>
      </c>
      <c r="C878" t="s">
        <v>5</v>
      </c>
      <c r="D878">
        <v>65.319999999999993</v>
      </c>
      <c r="E878">
        <v>0</v>
      </c>
      <c r="F878">
        <v>4.6399999999999997</v>
      </c>
      <c r="G878">
        <v>78.3</v>
      </c>
      <c r="H878">
        <v>29.85</v>
      </c>
      <c r="I878">
        <v>3</v>
      </c>
      <c r="J878">
        <v>1</v>
      </c>
      <c r="K878">
        <f>(StudentData[[#This Row],[Midterm_Grade]]*40%)+(StudentData[[#This Row],[Final_Grade]]*60%)</f>
        <v>49.230000000000004</v>
      </c>
      <c r="L878">
        <f>StudentData[[#This Row],[Attendance_Percentage]]*40%+StudentData[[#This Row],[Assignments_Completed]]*2+StudentData[[#This Row],[Class_Participation]]*2+StudentData[[#This Row],[Projects_Submitted]]*4</f>
        <v>39.408000000000001</v>
      </c>
      <c r="M878">
        <f>StudentData[[#This Row],[Academic_Score]]*60%+StudentData[[#This Row],[Engagement_Score]]*30%+MIN(StudentData[[#This Row],[Study_Hours_per_Week]],20)/20*100*10%</f>
        <v>42.860399999999998</v>
      </c>
      <c r="N878" s="3" t="str" cm="1">
        <f t="array" ref="N87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78" s="3" t="str">
        <f t="shared" si="26"/>
        <v>Medium Risk</v>
      </c>
      <c r="P878" s="3" t="str">
        <f t="shared" si="27"/>
        <v>18-20</v>
      </c>
    </row>
    <row r="879" spans="1:16">
      <c r="A879" t="s">
        <v>913</v>
      </c>
      <c r="B879">
        <v>19</v>
      </c>
      <c r="C879" t="s">
        <v>4</v>
      </c>
      <c r="D879">
        <v>89.45</v>
      </c>
      <c r="E879">
        <v>8</v>
      </c>
      <c r="F879">
        <v>9.43</v>
      </c>
      <c r="G879">
        <v>75.02</v>
      </c>
      <c r="H879">
        <v>67.239999999999995</v>
      </c>
      <c r="I879">
        <v>2</v>
      </c>
      <c r="J879">
        <v>5</v>
      </c>
      <c r="K879">
        <f>(StudentData[[#This Row],[Midterm_Grade]]*40%)+(StudentData[[#This Row],[Final_Grade]]*60%)</f>
        <v>70.35199999999999</v>
      </c>
      <c r="L879">
        <f>StudentData[[#This Row],[Attendance_Percentage]]*40%+StudentData[[#This Row],[Assignments_Completed]]*2+StudentData[[#This Row],[Class_Participation]]*2+StudentData[[#This Row],[Projects_Submitted]]*4</f>
        <v>90.64</v>
      </c>
      <c r="M879">
        <f>StudentData[[#This Row],[Academic_Score]]*60%+StudentData[[#This Row],[Engagement_Score]]*30%+MIN(StudentData[[#This Row],[Study_Hours_per_Week]],20)/20*100*10%</f>
        <v>70.403199999999998</v>
      </c>
      <c r="N879" s="3" t="str" cm="1">
        <f t="array" ref="N879">_xlfn.IFS(StudentData[[#This Row],[Success_Score]]&gt;=85,"Exceptional",StudentData[[#This Row],[Success_Score]]&gt;=70,"Strong",StudentData[[#This Row],[Success_Score]]&gt;=55,"Developing",TRUE,"Needs Improvement")</f>
        <v>Strong</v>
      </c>
      <c r="O879" s="3" t="str">
        <f t="shared" si="26"/>
        <v>Low Risk</v>
      </c>
      <c r="P879" s="3" t="str">
        <f t="shared" si="27"/>
        <v>18-20</v>
      </c>
    </row>
    <row r="880" spans="1:16">
      <c r="A880" t="s">
        <v>914</v>
      </c>
      <c r="B880">
        <v>22</v>
      </c>
      <c r="C880" t="s">
        <v>5</v>
      </c>
      <c r="D880">
        <v>72.319999999999993</v>
      </c>
      <c r="E880">
        <v>4</v>
      </c>
      <c r="F880">
        <v>3.24</v>
      </c>
      <c r="G880">
        <v>45.68</v>
      </c>
      <c r="H880">
        <v>32.880000000000003</v>
      </c>
      <c r="I880">
        <v>9</v>
      </c>
      <c r="J880">
        <v>2</v>
      </c>
      <c r="K880">
        <f>(StudentData[[#This Row],[Midterm_Grade]]*40%)+(StudentData[[#This Row],[Final_Grade]]*60%)</f>
        <v>38</v>
      </c>
      <c r="L880">
        <f>StudentData[[#This Row],[Attendance_Percentage]]*40%+StudentData[[#This Row],[Assignments_Completed]]*2+StudentData[[#This Row],[Class_Participation]]*2+StudentData[[#This Row],[Projects_Submitted]]*4</f>
        <v>51.408000000000001</v>
      </c>
      <c r="M880">
        <f>StudentData[[#This Row],[Academic_Score]]*60%+StudentData[[#This Row],[Engagement_Score]]*30%+MIN(StudentData[[#This Row],[Study_Hours_per_Week]],20)/20*100*10%</f>
        <v>42.7224</v>
      </c>
      <c r="N880" s="3" t="str" cm="1">
        <f t="array" ref="N88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80" s="3" t="str">
        <f t="shared" si="26"/>
        <v>Medium Risk</v>
      </c>
      <c r="P880" s="3" t="str">
        <f t="shared" si="27"/>
        <v>21-23</v>
      </c>
    </row>
    <row r="881" spans="1:16">
      <c r="A881" t="s">
        <v>915</v>
      </c>
      <c r="B881">
        <v>22</v>
      </c>
      <c r="C881" t="s">
        <v>4</v>
      </c>
      <c r="D881">
        <v>89.92</v>
      </c>
      <c r="E881">
        <v>10</v>
      </c>
      <c r="F881">
        <v>6.61</v>
      </c>
      <c r="G881">
        <v>84.57</v>
      </c>
      <c r="H881">
        <v>27.81</v>
      </c>
      <c r="I881">
        <v>14</v>
      </c>
      <c r="J881">
        <v>4</v>
      </c>
      <c r="K881">
        <f>(StudentData[[#This Row],[Midterm_Grade]]*40%)+(StudentData[[#This Row],[Final_Grade]]*60%)</f>
        <v>50.513999999999996</v>
      </c>
      <c r="L881">
        <f>StudentData[[#This Row],[Attendance_Percentage]]*40%+StudentData[[#This Row],[Assignments_Completed]]*2+StudentData[[#This Row],[Class_Participation]]*2+StudentData[[#This Row],[Projects_Submitted]]*4</f>
        <v>85.188000000000002</v>
      </c>
      <c r="M881">
        <f>StudentData[[#This Row],[Academic_Score]]*60%+StudentData[[#This Row],[Engagement_Score]]*30%+MIN(StudentData[[#This Row],[Study_Hours_per_Week]],20)/20*100*10%</f>
        <v>62.864799999999995</v>
      </c>
      <c r="N881" s="3" t="str" cm="1">
        <f t="array" ref="N881">_xlfn.IFS(StudentData[[#This Row],[Success_Score]]&gt;=85,"Exceptional",StudentData[[#This Row],[Success_Score]]&gt;=70,"Strong",StudentData[[#This Row],[Success_Score]]&gt;=55,"Developing",TRUE,"Needs Improvement")</f>
        <v>Developing</v>
      </c>
      <c r="O881" s="3" t="str">
        <f t="shared" si="26"/>
        <v>Medium Risk</v>
      </c>
      <c r="P881" s="3" t="str">
        <f t="shared" si="27"/>
        <v>21-23</v>
      </c>
    </row>
    <row r="882" spans="1:16">
      <c r="A882" t="s">
        <v>916</v>
      </c>
      <c r="B882">
        <v>22</v>
      </c>
      <c r="C882" t="s">
        <v>5</v>
      </c>
      <c r="D882">
        <v>91.12</v>
      </c>
      <c r="E882">
        <v>1</v>
      </c>
      <c r="F882">
        <v>6.52</v>
      </c>
      <c r="G882">
        <v>11.42</v>
      </c>
      <c r="H882">
        <v>18.440000000000001</v>
      </c>
      <c r="I882">
        <v>10</v>
      </c>
      <c r="J882">
        <v>0</v>
      </c>
      <c r="K882">
        <f>(StudentData[[#This Row],[Midterm_Grade]]*40%)+(StudentData[[#This Row],[Final_Grade]]*60%)</f>
        <v>15.632000000000001</v>
      </c>
      <c r="L882">
        <f>StudentData[[#This Row],[Attendance_Percentage]]*40%+StudentData[[#This Row],[Assignments_Completed]]*2+StudentData[[#This Row],[Class_Participation]]*2+StudentData[[#This Row],[Projects_Submitted]]*4</f>
        <v>51.488</v>
      </c>
      <c r="M882">
        <f>StudentData[[#This Row],[Academic_Score]]*60%+StudentData[[#This Row],[Engagement_Score]]*30%+MIN(StudentData[[#This Row],[Study_Hours_per_Week]],20)/20*100*10%</f>
        <v>29.825600000000001</v>
      </c>
      <c r="N882" s="3" t="str" cm="1">
        <f t="array" ref="N88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82" s="3" t="str">
        <f t="shared" si="26"/>
        <v>Medium Risk</v>
      </c>
      <c r="P882" s="3" t="str">
        <f t="shared" si="27"/>
        <v>21-23</v>
      </c>
    </row>
    <row r="883" spans="1:16">
      <c r="A883" t="s">
        <v>917</v>
      </c>
      <c r="B883">
        <v>23</v>
      </c>
      <c r="C883" t="s">
        <v>5</v>
      </c>
      <c r="D883">
        <v>92.88</v>
      </c>
      <c r="E883">
        <v>7</v>
      </c>
      <c r="F883">
        <v>2.5099999999999998</v>
      </c>
      <c r="G883">
        <v>25.54</v>
      </c>
      <c r="H883">
        <v>49.75</v>
      </c>
      <c r="I883">
        <v>13</v>
      </c>
      <c r="J883">
        <v>4</v>
      </c>
      <c r="K883">
        <f>(StudentData[[#This Row],[Midterm_Grade]]*40%)+(StudentData[[#This Row],[Final_Grade]]*60%)</f>
        <v>40.066000000000003</v>
      </c>
      <c r="L883">
        <f>StudentData[[#This Row],[Attendance_Percentage]]*40%+StudentData[[#This Row],[Assignments_Completed]]*2+StudentData[[#This Row],[Class_Participation]]*2+StudentData[[#This Row],[Projects_Submitted]]*4</f>
        <v>72.171999999999997</v>
      </c>
      <c r="M883">
        <f>StudentData[[#This Row],[Academic_Score]]*60%+StudentData[[#This Row],[Engagement_Score]]*30%+MIN(StudentData[[#This Row],[Study_Hours_per_Week]],20)/20*100*10%</f>
        <v>52.191199999999995</v>
      </c>
      <c r="N883" s="3" t="str" cm="1">
        <f t="array" ref="N88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83" s="3" t="str">
        <f t="shared" si="26"/>
        <v>Medium Risk</v>
      </c>
      <c r="P883" s="3" t="str">
        <f t="shared" si="27"/>
        <v>21-23</v>
      </c>
    </row>
    <row r="884" spans="1:16">
      <c r="A884" t="s">
        <v>918</v>
      </c>
      <c r="B884">
        <v>20</v>
      </c>
      <c r="C884" t="s">
        <v>6</v>
      </c>
      <c r="D884">
        <v>95.83</v>
      </c>
      <c r="E884">
        <v>10</v>
      </c>
      <c r="F884">
        <v>6.5</v>
      </c>
      <c r="G884">
        <v>82.8</v>
      </c>
      <c r="H884">
        <v>27.59</v>
      </c>
      <c r="I884">
        <v>5</v>
      </c>
      <c r="J884">
        <v>3</v>
      </c>
      <c r="K884">
        <f>(StudentData[[#This Row],[Midterm_Grade]]*40%)+(StudentData[[#This Row],[Final_Grade]]*60%)</f>
        <v>49.673999999999992</v>
      </c>
      <c r="L884">
        <f>StudentData[[#This Row],[Attendance_Percentage]]*40%+StudentData[[#This Row],[Assignments_Completed]]*2+StudentData[[#This Row],[Class_Participation]]*2+StudentData[[#This Row],[Projects_Submitted]]*4</f>
        <v>83.331999999999994</v>
      </c>
      <c r="M884">
        <f>StudentData[[#This Row],[Academic_Score]]*60%+StudentData[[#This Row],[Engagement_Score]]*30%+MIN(StudentData[[#This Row],[Study_Hours_per_Week]],20)/20*100*10%</f>
        <v>57.303999999999988</v>
      </c>
      <c r="N884" s="3" t="str" cm="1">
        <f t="array" ref="N884">_xlfn.IFS(StudentData[[#This Row],[Success_Score]]&gt;=85,"Exceptional",StudentData[[#This Row],[Success_Score]]&gt;=70,"Strong",StudentData[[#This Row],[Success_Score]]&gt;=55,"Developing",TRUE,"Needs Improvement")</f>
        <v>Developing</v>
      </c>
      <c r="O884" s="3" t="str">
        <f t="shared" si="26"/>
        <v>Medium Risk</v>
      </c>
      <c r="P884" s="3" t="str">
        <f t="shared" si="27"/>
        <v>18-20</v>
      </c>
    </row>
    <row r="885" spans="1:16">
      <c r="A885" t="s">
        <v>919</v>
      </c>
      <c r="B885">
        <v>25</v>
      </c>
      <c r="C885" t="s">
        <v>5</v>
      </c>
      <c r="D885">
        <v>71.55</v>
      </c>
      <c r="E885">
        <v>1</v>
      </c>
      <c r="F885">
        <v>2.12</v>
      </c>
      <c r="G885">
        <v>37.799999999999997</v>
      </c>
      <c r="H885">
        <v>73.099999999999994</v>
      </c>
      <c r="I885">
        <v>11</v>
      </c>
      <c r="J885">
        <v>2</v>
      </c>
      <c r="K885">
        <f>(StudentData[[#This Row],[Midterm_Grade]]*40%)+(StudentData[[#This Row],[Final_Grade]]*60%)</f>
        <v>58.97999999999999</v>
      </c>
      <c r="L885">
        <f>StudentData[[#This Row],[Attendance_Percentage]]*40%+StudentData[[#This Row],[Assignments_Completed]]*2+StudentData[[#This Row],[Class_Participation]]*2+StudentData[[#This Row],[Projects_Submitted]]*4</f>
        <v>42.86</v>
      </c>
      <c r="M885">
        <f>StudentData[[#This Row],[Academic_Score]]*60%+StudentData[[#This Row],[Engagement_Score]]*30%+MIN(StudentData[[#This Row],[Study_Hours_per_Week]],20)/20*100*10%</f>
        <v>53.745999999999988</v>
      </c>
      <c r="N885" s="3" t="str" cm="1">
        <f t="array" ref="N88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85" s="3" t="str">
        <f t="shared" si="26"/>
        <v>Medium Risk</v>
      </c>
      <c r="P885" s="3" t="str">
        <f t="shared" si="27"/>
        <v>24-25</v>
      </c>
    </row>
    <row r="886" spans="1:16">
      <c r="A886" t="s">
        <v>920</v>
      </c>
      <c r="B886">
        <v>25</v>
      </c>
      <c r="C886" t="s">
        <v>4</v>
      </c>
      <c r="D886">
        <v>65.94</v>
      </c>
      <c r="E886">
        <v>2</v>
      </c>
      <c r="F886">
        <v>1.22</v>
      </c>
      <c r="G886">
        <v>98.12</v>
      </c>
      <c r="H886">
        <v>7.66</v>
      </c>
      <c r="I886">
        <v>12</v>
      </c>
      <c r="J886">
        <v>0</v>
      </c>
      <c r="K886">
        <f>(StudentData[[#This Row],[Midterm_Grade]]*40%)+(StudentData[[#This Row],[Final_Grade]]*60%)</f>
        <v>43.844000000000008</v>
      </c>
      <c r="L886">
        <f>StudentData[[#This Row],[Attendance_Percentage]]*40%+StudentData[[#This Row],[Assignments_Completed]]*2+StudentData[[#This Row],[Class_Participation]]*2+StudentData[[#This Row],[Projects_Submitted]]*4</f>
        <v>32.816000000000003</v>
      </c>
      <c r="M886">
        <f>StudentData[[#This Row],[Academic_Score]]*60%+StudentData[[#This Row],[Engagement_Score]]*30%+MIN(StudentData[[#This Row],[Study_Hours_per_Week]],20)/20*100*10%</f>
        <v>42.151200000000003</v>
      </c>
      <c r="N886" s="3" t="str" cm="1">
        <f t="array" ref="N88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86" s="3" t="str">
        <f t="shared" si="26"/>
        <v>Medium Risk</v>
      </c>
      <c r="P886" s="3" t="str">
        <f t="shared" si="27"/>
        <v>24-25</v>
      </c>
    </row>
    <row r="887" spans="1:16">
      <c r="A887" t="s">
        <v>921</v>
      </c>
      <c r="B887">
        <v>22</v>
      </c>
      <c r="C887" t="s">
        <v>5</v>
      </c>
      <c r="D887">
        <v>79.11</v>
      </c>
      <c r="E887">
        <v>9</v>
      </c>
      <c r="F887">
        <v>7.01</v>
      </c>
      <c r="G887">
        <v>46.63</v>
      </c>
      <c r="H887">
        <v>66.400000000000006</v>
      </c>
      <c r="I887">
        <v>16</v>
      </c>
      <c r="J887">
        <v>5</v>
      </c>
      <c r="K887">
        <f>(StudentData[[#This Row],[Midterm_Grade]]*40%)+(StudentData[[#This Row],[Final_Grade]]*60%)</f>
        <v>58.492000000000004</v>
      </c>
      <c r="L887">
        <f>StudentData[[#This Row],[Attendance_Percentage]]*40%+StudentData[[#This Row],[Assignments_Completed]]*2+StudentData[[#This Row],[Class_Participation]]*2+StudentData[[#This Row],[Projects_Submitted]]*4</f>
        <v>83.664000000000001</v>
      </c>
      <c r="M887">
        <f>StudentData[[#This Row],[Academic_Score]]*60%+StudentData[[#This Row],[Engagement_Score]]*30%+MIN(StudentData[[#This Row],[Study_Hours_per_Week]],20)/20*100*10%</f>
        <v>68.194400000000002</v>
      </c>
      <c r="N887" s="3" t="str" cm="1">
        <f t="array" ref="N887">_xlfn.IFS(StudentData[[#This Row],[Success_Score]]&gt;=85,"Exceptional",StudentData[[#This Row],[Success_Score]]&gt;=70,"Strong",StudentData[[#This Row],[Success_Score]]&gt;=55,"Developing",TRUE,"Needs Improvement")</f>
        <v>Developing</v>
      </c>
      <c r="O887" s="3" t="str">
        <f t="shared" si="26"/>
        <v>Medium Risk</v>
      </c>
      <c r="P887" s="3" t="str">
        <f t="shared" si="27"/>
        <v>21-23</v>
      </c>
    </row>
    <row r="888" spans="1:16">
      <c r="A888" t="s">
        <v>922</v>
      </c>
      <c r="B888">
        <v>18</v>
      </c>
      <c r="C888" t="s">
        <v>4</v>
      </c>
      <c r="D888">
        <v>68.56</v>
      </c>
      <c r="E888">
        <v>0</v>
      </c>
      <c r="F888">
        <v>1.1299999999999999</v>
      </c>
      <c r="G888">
        <v>79.19</v>
      </c>
      <c r="H888">
        <v>23.76</v>
      </c>
      <c r="I888">
        <v>15</v>
      </c>
      <c r="J888">
        <v>3</v>
      </c>
      <c r="K888">
        <f>(StudentData[[#This Row],[Midterm_Grade]]*40%)+(StudentData[[#This Row],[Final_Grade]]*60%)</f>
        <v>45.932000000000002</v>
      </c>
      <c r="L888">
        <f>StudentData[[#This Row],[Attendance_Percentage]]*40%+StudentData[[#This Row],[Assignments_Completed]]*2+StudentData[[#This Row],[Class_Participation]]*2+StudentData[[#This Row],[Projects_Submitted]]*4</f>
        <v>41.684000000000005</v>
      </c>
      <c r="M888">
        <f>StudentData[[#This Row],[Academic_Score]]*60%+StudentData[[#This Row],[Engagement_Score]]*30%+MIN(StudentData[[#This Row],[Study_Hours_per_Week]],20)/20*100*10%</f>
        <v>47.564399999999999</v>
      </c>
      <c r="N888" s="3" t="str" cm="1">
        <f t="array" ref="N88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88" s="3" t="str">
        <f t="shared" si="26"/>
        <v>Medium Risk</v>
      </c>
      <c r="P888" s="3" t="str">
        <f t="shared" si="27"/>
        <v>18-20</v>
      </c>
    </row>
    <row r="889" spans="1:16">
      <c r="A889" t="s">
        <v>923</v>
      </c>
      <c r="B889">
        <v>23</v>
      </c>
      <c r="C889" t="s">
        <v>5</v>
      </c>
      <c r="D889">
        <v>80.05</v>
      </c>
      <c r="E889">
        <v>10</v>
      </c>
      <c r="F889">
        <v>9.9700000000000006</v>
      </c>
      <c r="G889">
        <v>40.229999999999997</v>
      </c>
      <c r="H889">
        <v>48.93</v>
      </c>
      <c r="I889">
        <v>2</v>
      </c>
      <c r="J889">
        <v>5</v>
      </c>
      <c r="K889">
        <f>(StudentData[[#This Row],[Midterm_Grade]]*40%)+(StudentData[[#This Row],[Final_Grade]]*60%)</f>
        <v>45.449999999999996</v>
      </c>
      <c r="L889">
        <f>StudentData[[#This Row],[Attendance_Percentage]]*40%+StudentData[[#This Row],[Assignments_Completed]]*2+StudentData[[#This Row],[Class_Participation]]*2+StudentData[[#This Row],[Projects_Submitted]]*4</f>
        <v>91.960000000000008</v>
      </c>
      <c r="M889">
        <f>StudentData[[#This Row],[Academic_Score]]*60%+StudentData[[#This Row],[Engagement_Score]]*30%+MIN(StudentData[[#This Row],[Study_Hours_per_Week]],20)/20*100*10%</f>
        <v>55.857999999999997</v>
      </c>
      <c r="N889" s="3" t="str" cm="1">
        <f t="array" ref="N889">_xlfn.IFS(StudentData[[#This Row],[Success_Score]]&gt;=85,"Exceptional",StudentData[[#This Row],[Success_Score]]&gt;=70,"Strong",StudentData[[#This Row],[Success_Score]]&gt;=55,"Developing",TRUE,"Needs Improvement")</f>
        <v>Developing</v>
      </c>
      <c r="O889" s="3" t="str">
        <f t="shared" si="26"/>
        <v>Medium Risk</v>
      </c>
      <c r="P889" s="3" t="str">
        <f t="shared" si="27"/>
        <v>21-23</v>
      </c>
    </row>
    <row r="890" spans="1:16">
      <c r="A890" t="s">
        <v>924</v>
      </c>
      <c r="B890">
        <v>21</v>
      </c>
      <c r="C890" t="s">
        <v>6</v>
      </c>
      <c r="D890">
        <v>85.28</v>
      </c>
      <c r="E890">
        <v>1</v>
      </c>
      <c r="F890">
        <v>1.83</v>
      </c>
      <c r="G890">
        <v>42.5</v>
      </c>
      <c r="H890">
        <v>28.61</v>
      </c>
      <c r="I890">
        <v>1</v>
      </c>
      <c r="J890">
        <v>1</v>
      </c>
      <c r="K890">
        <f>(StudentData[[#This Row],[Midterm_Grade]]*40%)+(StudentData[[#This Row],[Final_Grade]]*60%)</f>
        <v>34.165999999999997</v>
      </c>
      <c r="L890">
        <f>StudentData[[#This Row],[Attendance_Percentage]]*40%+StudentData[[#This Row],[Assignments_Completed]]*2+StudentData[[#This Row],[Class_Participation]]*2+StudentData[[#This Row],[Projects_Submitted]]*4</f>
        <v>43.772000000000006</v>
      </c>
      <c r="M890">
        <f>StudentData[[#This Row],[Academic_Score]]*60%+StudentData[[#This Row],[Engagement_Score]]*30%+MIN(StudentData[[#This Row],[Study_Hours_per_Week]],20)/20*100*10%</f>
        <v>34.1312</v>
      </c>
      <c r="N890" s="3" t="str" cm="1">
        <f t="array" ref="N89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90" s="3" t="str">
        <f t="shared" si="26"/>
        <v>Medium Risk</v>
      </c>
      <c r="P890" s="3" t="str">
        <f t="shared" si="27"/>
        <v>21-23</v>
      </c>
    </row>
    <row r="891" spans="1:16">
      <c r="A891" t="s">
        <v>925</v>
      </c>
      <c r="B891">
        <v>18</v>
      </c>
      <c r="C891" t="s">
        <v>4</v>
      </c>
      <c r="D891">
        <v>84.42</v>
      </c>
      <c r="E891">
        <v>6</v>
      </c>
      <c r="F891">
        <v>5.94</v>
      </c>
      <c r="G891">
        <v>38.29</v>
      </c>
      <c r="H891">
        <v>72.28</v>
      </c>
      <c r="I891">
        <v>10</v>
      </c>
      <c r="J891">
        <v>2</v>
      </c>
      <c r="K891">
        <f>(StudentData[[#This Row],[Midterm_Grade]]*40%)+(StudentData[[#This Row],[Final_Grade]]*60%)</f>
        <v>58.684000000000005</v>
      </c>
      <c r="L891">
        <f>StudentData[[#This Row],[Attendance_Percentage]]*40%+StudentData[[#This Row],[Assignments_Completed]]*2+StudentData[[#This Row],[Class_Participation]]*2+StudentData[[#This Row],[Projects_Submitted]]*4</f>
        <v>65.647999999999996</v>
      </c>
      <c r="M891">
        <f>StudentData[[#This Row],[Academic_Score]]*60%+StudentData[[#This Row],[Engagement_Score]]*30%+MIN(StudentData[[#This Row],[Study_Hours_per_Week]],20)/20*100*10%</f>
        <v>59.904799999999994</v>
      </c>
      <c r="N891" s="3" t="str" cm="1">
        <f t="array" ref="N891">_xlfn.IFS(StudentData[[#This Row],[Success_Score]]&gt;=85,"Exceptional",StudentData[[#This Row],[Success_Score]]&gt;=70,"Strong",StudentData[[#This Row],[Success_Score]]&gt;=55,"Developing",TRUE,"Needs Improvement")</f>
        <v>Developing</v>
      </c>
      <c r="O891" s="3" t="str">
        <f t="shared" si="26"/>
        <v>Medium Risk</v>
      </c>
      <c r="P891" s="3" t="str">
        <f t="shared" si="27"/>
        <v>18-20</v>
      </c>
    </row>
    <row r="892" spans="1:16">
      <c r="A892" t="s">
        <v>926</v>
      </c>
      <c r="B892">
        <v>24</v>
      </c>
      <c r="C892" t="s">
        <v>5</v>
      </c>
      <c r="D892">
        <v>68.73</v>
      </c>
      <c r="E892">
        <v>9</v>
      </c>
      <c r="F892">
        <v>4.1100000000000003</v>
      </c>
      <c r="G892">
        <v>71.91</v>
      </c>
      <c r="H892">
        <v>94.53</v>
      </c>
      <c r="I892">
        <v>8</v>
      </c>
      <c r="J892">
        <v>3</v>
      </c>
      <c r="K892">
        <f>(StudentData[[#This Row],[Midterm_Grade]]*40%)+(StudentData[[#This Row],[Final_Grade]]*60%)</f>
        <v>85.481999999999999</v>
      </c>
      <c r="L892">
        <f>StudentData[[#This Row],[Attendance_Percentage]]*40%+StudentData[[#This Row],[Assignments_Completed]]*2+StudentData[[#This Row],[Class_Participation]]*2+StudentData[[#This Row],[Projects_Submitted]]*4</f>
        <v>65.712000000000003</v>
      </c>
      <c r="M892">
        <f>StudentData[[#This Row],[Academic_Score]]*60%+StudentData[[#This Row],[Engagement_Score]]*30%+MIN(StudentData[[#This Row],[Study_Hours_per_Week]],20)/20*100*10%</f>
        <v>75.002800000000008</v>
      </c>
      <c r="N892" s="3" t="str" cm="1">
        <f t="array" ref="N892">_xlfn.IFS(StudentData[[#This Row],[Success_Score]]&gt;=85,"Exceptional",StudentData[[#This Row],[Success_Score]]&gt;=70,"Strong",StudentData[[#This Row],[Success_Score]]&gt;=55,"Developing",TRUE,"Needs Improvement")</f>
        <v>Strong</v>
      </c>
      <c r="O892" s="3" t="str">
        <f t="shared" si="26"/>
        <v>Medium Risk</v>
      </c>
      <c r="P892" s="3" t="str">
        <f t="shared" si="27"/>
        <v>24-25</v>
      </c>
    </row>
    <row r="893" spans="1:16">
      <c r="A893" t="s">
        <v>927</v>
      </c>
      <c r="B893">
        <v>24</v>
      </c>
      <c r="C893" t="s">
        <v>5</v>
      </c>
      <c r="D893">
        <v>58.34</v>
      </c>
      <c r="E893">
        <v>1</v>
      </c>
      <c r="F893">
        <v>1.26</v>
      </c>
      <c r="G893">
        <v>54.75</v>
      </c>
      <c r="H893">
        <v>91.71</v>
      </c>
      <c r="I893">
        <v>2</v>
      </c>
      <c r="J893">
        <v>3</v>
      </c>
      <c r="K893">
        <f>(StudentData[[#This Row],[Midterm_Grade]]*40%)+(StudentData[[#This Row],[Final_Grade]]*60%)</f>
        <v>76.926000000000002</v>
      </c>
      <c r="L893">
        <f>StudentData[[#This Row],[Attendance_Percentage]]*40%+StudentData[[#This Row],[Assignments_Completed]]*2+StudentData[[#This Row],[Class_Participation]]*2+StudentData[[#This Row],[Projects_Submitted]]*4</f>
        <v>39.856000000000002</v>
      </c>
      <c r="M893">
        <f>StudentData[[#This Row],[Academic_Score]]*60%+StudentData[[#This Row],[Engagement_Score]]*30%+MIN(StudentData[[#This Row],[Study_Hours_per_Week]],20)/20*100*10%</f>
        <v>59.112400000000001</v>
      </c>
      <c r="N893" s="3" t="str" cm="1">
        <f t="array" ref="N893">_xlfn.IFS(StudentData[[#This Row],[Success_Score]]&gt;=85,"Exceptional",StudentData[[#This Row],[Success_Score]]&gt;=70,"Strong",StudentData[[#This Row],[Success_Score]]&gt;=55,"Developing",TRUE,"Needs Improvement")</f>
        <v>Developing</v>
      </c>
      <c r="O893" s="3" t="str">
        <f t="shared" si="26"/>
        <v>Medium Risk</v>
      </c>
      <c r="P893" s="3" t="str">
        <f t="shared" si="27"/>
        <v>24-25</v>
      </c>
    </row>
    <row r="894" spans="1:16">
      <c r="A894" t="s">
        <v>928</v>
      </c>
      <c r="B894">
        <v>18</v>
      </c>
      <c r="C894" t="s">
        <v>5</v>
      </c>
      <c r="D894">
        <v>71.53</v>
      </c>
      <c r="E894">
        <v>5</v>
      </c>
      <c r="F894">
        <v>0.28000000000000003</v>
      </c>
      <c r="G894">
        <v>94.38</v>
      </c>
      <c r="H894">
        <v>58.34</v>
      </c>
      <c r="I894">
        <v>17</v>
      </c>
      <c r="J894">
        <v>5</v>
      </c>
      <c r="K894">
        <f>(StudentData[[#This Row],[Midterm_Grade]]*40%)+(StudentData[[#This Row],[Final_Grade]]*60%)</f>
        <v>72.756</v>
      </c>
      <c r="L894">
        <f>StudentData[[#This Row],[Attendance_Percentage]]*40%+StudentData[[#This Row],[Assignments_Completed]]*2+StudentData[[#This Row],[Class_Participation]]*2+StudentData[[#This Row],[Projects_Submitted]]*4</f>
        <v>59.172000000000004</v>
      </c>
      <c r="M894">
        <f>StudentData[[#This Row],[Academic_Score]]*60%+StudentData[[#This Row],[Engagement_Score]]*30%+MIN(StudentData[[#This Row],[Study_Hours_per_Week]],20)/20*100*10%</f>
        <v>69.905199999999994</v>
      </c>
      <c r="N894" s="3" t="str" cm="1">
        <f t="array" ref="N894">_xlfn.IFS(StudentData[[#This Row],[Success_Score]]&gt;=85,"Exceptional",StudentData[[#This Row],[Success_Score]]&gt;=70,"Strong",StudentData[[#This Row],[Success_Score]]&gt;=55,"Developing",TRUE,"Needs Improvement")</f>
        <v>Developing</v>
      </c>
      <c r="O894" s="3" t="str">
        <f t="shared" si="26"/>
        <v>Low Risk</v>
      </c>
      <c r="P894" s="3" t="str">
        <f t="shared" si="27"/>
        <v>18-20</v>
      </c>
    </row>
    <row r="895" spans="1:16">
      <c r="A895" t="s">
        <v>929</v>
      </c>
      <c r="B895">
        <v>22</v>
      </c>
      <c r="C895" t="s">
        <v>4</v>
      </c>
      <c r="D895">
        <v>57.13</v>
      </c>
      <c r="E895">
        <v>2</v>
      </c>
      <c r="F895">
        <v>6.23</v>
      </c>
      <c r="G895">
        <v>25.09</v>
      </c>
      <c r="H895">
        <v>46.26</v>
      </c>
      <c r="I895">
        <v>19</v>
      </c>
      <c r="J895">
        <v>0</v>
      </c>
      <c r="K895">
        <f>(StudentData[[#This Row],[Midterm_Grade]]*40%)+(StudentData[[#This Row],[Final_Grade]]*60%)</f>
        <v>37.792000000000002</v>
      </c>
      <c r="L895">
        <f>StudentData[[#This Row],[Attendance_Percentage]]*40%+StudentData[[#This Row],[Assignments_Completed]]*2+StudentData[[#This Row],[Class_Participation]]*2+StudentData[[#This Row],[Projects_Submitted]]*4</f>
        <v>39.312000000000005</v>
      </c>
      <c r="M895">
        <f>StudentData[[#This Row],[Academic_Score]]*60%+StudentData[[#This Row],[Engagement_Score]]*30%+MIN(StudentData[[#This Row],[Study_Hours_per_Week]],20)/20*100*10%</f>
        <v>43.968800000000002</v>
      </c>
      <c r="N895" s="3" t="str" cm="1">
        <f t="array" ref="N89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95" s="3" t="str">
        <f t="shared" si="26"/>
        <v>High Risk</v>
      </c>
      <c r="P895" s="3" t="str">
        <f t="shared" si="27"/>
        <v>21-23</v>
      </c>
    </row>
    <row r="896" spans="1:16">
      <c r="A896" t="s">
        <v>930</v>
      </c>
      <c r="B896">
        <v>21</v>
      </c>
      <c r="C896" t="s">
        <v>5</v>
      </c>
      <c r="D896">
        <v>94.5</v>
      </c>
      <c r="E896">
        <v>3</v>
      </c>
      <c r="F896">
        <v>8.07</v>
      </c>
      <c r="G896">
        <v>10.06</v>
      </c>
      <c r="H896">
        <v>81.83</v>
      </c>
      <c r="I896">
        <v>14</v>
      </c>
      <c r="J896">
        <v>1</v>
      </c>
      <c r="K896">
        <f>(StudentData[[#This Row],[Midterm_Grade]]*40%)+(StudentData[[#This Row],[Final_Grade]]*60%)</f>
        <v>53.122</v>
      </c>
      <c r="L896">
        <f>StudentData[[#This Row],[Attendance_Percentage]]*40%+StudentData[[#This Row],[Assignments_Completed]]*2+StudentData[[#This Row],[Class_Participation]]*2+StudentData[[#This Row],[Projects_Submitted]]*4</f>
        <v>63.940000000000005</v>
      </c>
      <c r="M896">
        <f>StudentData[[#This Row],[Academic_Score]]*60%+StudentData[[#This Row],[Engagement_Score]]*30%+MIN(StudentData[[#This Row],[Study_Hours_per_Week]],20)/20*100*10%</f>
        <v>58.055199999999999</v>
      </c>
      <c r="N896" s="3" t="str" cm="1">
        <f t="array" ref="N896">_xlfn.IFS(StudentData[[#This Row],[Success_Score]]&gt;=85,"Exceptional",StudentData[[#This Row],[Success_Score]]&gt;=70,"Strong",StudentData[[#This Row],[Success_Score]]&gt;=55,"Developing",TRUE,"Needs Improvement")</f>
        <v>Developing</v>
      </c>
      <c r="O896" s="3" t="str">
        <f t="shared" si="26"/>
        <v>Medium Risk</v>
      </c>
      <c r="P896" s="3" t="str">
        <f t="shared" si="27"/>
        <v>21-23</v>
      </c>
    </row>
    <row r="897" spans="1:16">
      <c r="A897" t="s">
        <v>931</v>
      </c>
      <c r="B897">
        <v>21</v>
      </c>
      <c r="C897" t="s">
        <v>4</v>
      </c>
      <c r="D897">
        <v>67.290000000000006</v>
      </c>
      <c r="E897">
        <v>10</v>
      </c>
      <c r="F897">
        <v>8.42</v>
      </c>
      <c r="G897">
        <v>39.33</v>
      </c>
      <c r="H897">
        <v>68.33</v>
      </c>
      <c r="I897">
        <v>13</v>
      </c>
      <c r="J897">
        <v>5</v>
      </c>
      <c r="K897">
        <f>(StudentData[[#This Row],[Midterm_Grade]]*40%)+(StudentData[[#This Row],[Final_Grade]]*60%)</f>
        <v>56.73</v>
      </c>
      <c r="L897">
        <f>StudentData[[#This Row],[Attendance_Percentage]]*40%+StudentData[[#This Row],[Assignments_Completed]]*2+StudentData[[#This Row],[Class_Participation]]*2+StudentData[[#This Row],[Projects_Submitted]]*4</f>
        <v>83.756</v>
      </c>
      <c r="M897">
        <f>StudentData[[#This Row],[Academic_Score]]*60%+StudentData[[#This Row],[Engagement_Score]]*30%+MIN(StudentData[[#This Row],[Study_Hours_per_Week]],20)/20*100*10%</f>
        <v>65.6648</v>
      </c>
      <c r="N897" s="3" t="str" cm="1">
        <f t="array" ref="N897">_xlfn.IFS(StudentData[[#This Row],[Success_Score]]&gt;=85,"Exceptional",StudentData[[#This Row],[Success_Score]]&gt;=70,"Strong",StudentData[[#This Row],[Success_Score]]&gt;=55,"Developing",TRUE,"Needs Improvement")</f>
        <v>Developing</v>
      </c>
      <c r="O897" s="3" t="str">
        <f t="shared" si="26"/>
        <v>Medium Risk</v>
      </c>
      <c r="P897" s="3" t="str">
        <f t="shared" si="27"/>
        <v>21-23</v>
      </c>
    </row>
    <row r="898" spans="1:16">
      <c r="A898" t="s">
        <v>932</v>
      </c>
      <c r="B898">
        <v>23</v>
      </c>
      <c r="C898" t="s">
        <v>5</v>
      </c>
      <c r="D898">
        <v>57.72</v>
      </c>
      <c r="E898">
        <v>7</v>
      </c>
      <c r="F898">
        <v>4.83</v>
      </c>
      <c r="G898">
        <v>61.67</v>
      </c>
      <c r="H898">
        <v>18.36</v>
      </c>
      <c r="I898">
        <v>1</v>
      </c>
      <c r="J898">
        <v>3</v>
      </c>
      <c r="K898">
        <f>(StudentData[[#This Row],[Midterm_Grade]]*40%)+(StudentData[[#This Row],[Final_Grade]]*60%)</f>
        <v>35.684000000000005</v>
      </c>
      <c r="L898">
        <f>StudentData[[#This Row],[Attendance_Percentage]]*40%+StudentData[[#This Row],[Assignments_Completed]]*2+StudentData[[#This Row],[Class_Participation]]*2+StudentData[[#This Row],[Projects_Submitted]]*4</f>
        <v>58.748000000000005</v>
      </c>
      <c r="M898">
        <f>StudentData[[#This Row],[Academic_Score]]*60%+StudentData[[#This Row],[Engagement_Score]]*30%+MIN(StudentData[[#This Row],[Study_Hours_per_Week]],20)/20*100*10%</f>
        <v>39.534800000000004</v>
      </c>
      <c r="N898" s="3" t="str" cm="1">
        <f t="array" ref="N89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898" s="3" t="str">
        <f t="shared" ref="O898:O961" si="28">IF(AND(D898&lt;60,K898&lt;50),"High Risk",IF(OR(D898&lt;70,K898&lt;60),"Medium Risk","Low Risk"))</f>
        <v>High Risk</v>
      </c>
      <c r="P898" s="3" t="str">
        <f t="shared" ref="P898:P961" si="29">IF(B898&lt;=20,"18-20",IF(B898&lt;=23,"21-23","24-25"))</f>
        <v>21-23</v>
      </c>
    </row>
    <row r="899" spans="1:16">
      <c r="A899" t="s">
        <v>933</v>
      </c>
      <c r="B899">
        <v>21</v>
      </c>
      <c r="C899" t="s">
        <v>5</v>
      </c>
      <c r="D899">
        <v>51.27</v>
      </c>
      <c r="E899">
        <v>2</v>
      </c>
      <c r="F899">
        <v>7.77</v>
      </c>
      <c r="G899">
        <v>86.08</v>
      </c>
      <c r="H899">
        <v>82.09</v>
      </c>
      <c r="I899">
        <v>16</v>
      </c>
      <c r="J899">
        <v>2</v>
      </c>
      <c r="K899">
        <f>(StudentData[[#This Row],[Midterm_Grade]]*40%)+(StudentData[[#This Row],[Final_Grade]]*60%)</f>
        <v>83.686000000000007</v>
      </c>
      <c r="L899">
        <f>StudentData[[#This Row],[Attendance_Percentage]]*40%+StudentData[[#This Row],[Assignments_Completed]]*2+StudentData[[#This Row],[Class_Participation]]*2+StudentData[[#This Row],[Projects_Submitted]]*4</f>
        <v>48.048000000000002</v>
      </c>
      <c r="M899">
        <f>StudentData[[#This Row],[Academic_Score]]*60%+StudentData[[#This Row],[Engagement_Score]]*30%+MIN(StudentData[[#This Row],[Study_Hours_per_Week]],20)/20*100*10%</f>
        <v>72.626000000000005</v>
      </c>
      <c r="N899" s="3" t="str" cm="1">
        <f t="array" ref="N899">_xlfn.IFS(StudentData[[#This Row],[Success_Score]]&gt;=85,"Exceptional",StudentData[[#This Row],[Success_Score]]&gt;=70,"Strong",StudentData[[#This Row],[Success_Score]]&gt;=55,"Developing",TRUE,"Needs Improvement")</f>
        <v>Strong</v>
      </c>
      <c r="O899" s="3" t="str">
        <f t="shared" si="28"/>
        <v>Medium Risk</v>
      </c>
      <c r="P899" s="3" t="str">
        <f t="shared" si="29"/>
        <v>21-23</v>
      </c>
    </row>
    <row r="900" spans="1:16">
      <c r="A900" t="s">
        <v>934</v>
      </c>
      <c r="B900">
        <v>24</v>
      </c>
      <c r="C900" t="s">
        <v>4</v>
      </c>
      <c r="D900">
        <v>82.29</v>
      </c>
      <c r="E900">
        <v>9</v>
      </c>
      <c r="F900">
        <v>6.73</v>
      </c>
      <c r="G900">
        <v>34.619999999999997</v>
      </c>
      <c r="H900">
        <v>42.89</v>
      </c>
      <c r="I900">
        <v>7</v>
      </c>
      <c r="J900">
        <v>3</v>
      </c>
      <c r="K900">
        <f>(StudentData[[#This Row],[Midterm_Grade]]*40%)+(StudentData[[#This Row],[Final_Grade]]*60%)</f>
        <v>39.581999999999994</v>
      </c>
      <c r="L900">
        <f>StudentData[[#This Row],[Attendance_Percentage]]*40%+StudentData[[#This Row],[Assignments_Completed]]*2+StudentData[[#This Row],[Class_Participation]]*2+StudentData[[#This Row],[Projects_Submitted]]*4</f>
        <v>76.376000000000005</v>
      </c>
      <c r="M900">
        <f>StudentData[[#This Row],[Academic_Score]]*60%+StudentData[[#This Row],[Engagement_Score]]*30%+MIN(StudentData[[#This Row],[Study_Hours_per_Week]],20)/20*100*10%</f>
        <v>50.161999999999992</v>
      </c>
      <c r="N900" s="3" t="str" cm="1">
        <f t="array" ref="N90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00" s="3" t="str">
        <f t="shared" si="28"/>
        <v>Medium Risk</v>
      </c>
      <c r="P900" s="3" t="str">
        <f t="shared" si="29"/>
        <v>24-25</v>
      </c>
    </row>
    <row r="901" spans="1:16">
      <c r="A901" t="s">
        <v>935</v>
      </c>
      <c r="B901">
        <v>20</v>
      </c>
      <c r="C901" t="s">
        <v>4</v>
      </c>
      <c r="D901">
        <v>81.849999999999994</v>
      </c>
      <c r="E901">
        <v>5</v>
      </c>
      <c r="F901">
        <v>7.24</v>
      </c>
      <c r="G901">
        <v>65.38</v>
      </c>
      <c r="H901">
        <v>18.899999999999999</v>
      </c>
      <c r="I901">
        <v>9</v>
      </c>
      <c r="J901">
        <v>4</v>
      </c>
      <c r="K901">
        <f>(StudentData[[#This Row],[Midterm_Grade]]*40%)+(StudentData[[#This Row],[Final_Grade]]*60%)</f>
        <v>37.491999999999997</v>
      </c>
      <c r="L901">
        <f>StudentData[[#This Row],[Attendance_Percentage]]*40%+StudentData[[#This Row],[Assignments_Completed]]*2+StudentData[[#This Row],[Class_Participation]]*2+StudentData[[#This Row],[Projects_Submitted]]*4</f>
        <v>73.22</v>
      </c>
      <c r="M901">
        <f>StudentData[[#This Row],[Academic_Score]]*60%+StudentData[[#This Row],[Engagement_Score]]*30%+MIN(StudentData[[#This Row],[Study_Hours_per_Week]],20)/20*100*10%</f>
        <v>48.961199999999991</v>
      </c>
      <c r="N901" s="3" t="str" cm="1">
        <f t="array" ref="N90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01" s="3" t="str">
        <f t="shared" si="28"/>
        <v>Medium Risk</v>
      </c>
      <c r="P901" s="3" t="str">
        <f t="shared" si="29"/>
        <v>18-20</v>
      </c>
    </row>
    <row r="902" spans="1:16">
      <c r="A902" t="s">
        <v>936</v>
      </c>
      <c r="B902">
        <v>22</v>
      </c>
      <c r="C902" t="s">
        <v>5</v>
      </c>
      <c r="D902">
        <v>67.03</v>
      </c>
      <c r="E902">
        <v>0</v>
      </c>
      <c r="F902">
        <v>4.93</v>
      </c>
      <c r="G902">
        <v>35.020000000000003</v>
      </c>
      <c r="H902">
        <v>28.18</v>
      </c>
      <c r="I902">
        <v>17</v>
      </c>
      <c r="J902">
        <v>2</v>
      </c>
      <c r="K902">
        <f>(StudentData[[#This Row],[Midterm_Grade]]*40%)+(StudentData[[#This Row],[Final_Grade]]*60%)</f>
        <v>30.916</v>
      </c>
      <c r="L902">
        <f>StudentData[[#This Row],[Attendance_Percentage]]*40%+StudentData[[#This Row],[Assignments_Completed]]*2+StudentData[[#This Row],[Class_Participation]]*2+StudentData[[#This Row],[Projects_Submitted]]*4</f>
        <v>44.671999999999997</v>
      </c>
      <c r="M902">
        <f>StudentData[[#This Row],[Academic_Score]]*60%+StudentData[[#This Row],[Engagement_Score]]*30%+MIN(StudentData[[#This Row],[Study_Hours_per_Week]],20)/20*100*10%</f>
        <v>40.4512</v>
      </c>
      <c r="N902" s="3" t="str" cm="1">
        <f t="array" ref="N90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02" s="3" t="str">
        <f t="shared" si="28"/>
        <v>Medium Risk</v>
      </c>
      <c r="P902" s="3" t="str">
        <f t="shared" si="29"/>
        <v>21-23</v>
      </c>
    </row>
    <row r="903" spans="1:16">
      <c r="A903" t="s">
        <v>937</v>
      </c>
      <c r="B903">
        <v>21</v>
      </c>
      <c r="C903" t="s">
        <v>5</v>
      </c>
      <c r="D903">
        <v>53.59</v>
      </c>
      <c r="E903">
        <v>6</v>
      </c>
      <c r="F903">
        <v>6.33</v>
      </c>
      <c r="G903">
        <v>61.72</v>
      </c>
      <c r="H903">
        <v>26.75</v>
      </c>
      <c r="I903">
        <v>18</v>
      </c>
      <c r="J903">
        <v>2</v>
      </c>
      <c r="K903">
        <f>(StudentData[[#This Row],[Midterm_Grade]]*40%)+(StudentData[[#This Row],[Final_Grade]]*60%)</f>
        <v>40.738</v>
      </c>
      <c r="L903">
        <f>StudentData[[#This Row],[Attendance_Percentage]]*40%+StudentData[[#This Row],[Assignments_Completed]]*2+StudentData[[#This Row],[Class_Participation]]*2+StudentData[[#This Row],[Projects_Submitted]]*4</f>
        <v>54.096000000000004</v>
      </c>
      <c r="M903">
        <f>StudentData[[#This Row],[Academic_Score]]*60%+StudentData[[#This Row],[Engagement_Score]]*30%+MIN(StudentData[[#This Row],[Study_Hours_per_Week]],20)/20*100*10%</f>
        <v>49.671599999999998</v>
      </c>
      <c r="N903" s="3" t="str" cm="1">
        <f t="array" ref="N90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03" s="3" t="str">
        <f t="shared" si="28"/>
        <v>High Risk</v>
      </c>
      <c r="P903" s="3" t="str">
        <f t="shared" si="29"/>
        <v>21-23</v>
      </c>
    </row>
    <row r="904" spans="1:16">
      <c r="A904" t="s">
        <v>938</v>
      </c>
      <c r="B904">
        <v>23</v>
      </c>
      <c r="C904" t="s">
        <v>5</v>
      </c>
      <c r="D904">
        <v>70.48</v>
      </c>
      <c r="E904">
        <v>7</v>
      </c>
      <c r="F904">
        <v>8.06</v>
      </c>
      <c r="G904">
        <v>88.48</v>
      </c>
      <c r="H904">
        <v>51.92</v>
      </c>
      <c r="I904">
        <v>7</v>
      </c>
      <c r="J904">
        <v>3</v>
      </c>
      <c r="K904">
        <f>(StudentData[[#This Row],[Midterm_Grade]]*40%)+(StudentData[[#This Row],[Final_Grade]]*60%)</f>
        <v>66.544000000000011</v>
      </c>
      <c r="L904">
        <f>StudentData[[#This Row],[Attendance_Percentage]]*40%+StudentData[[#This Row],[Assignments_Completed]]*2+StudentData[[#This Row],[Class_Participation]]*2+StudentData[[#This Row],[Projects_Submitted]]*4</f>
        <v>70.312000000000012</v>
      </c>
      <c r="M904">
        <f>StudentData[[#This Row],[Academic_Score]]*60%+StudentData[[#This Row],[Engagement_Score]]*30%+MIN(StudentData[[#This Row],[Study_Hours_per_Week]],20)/20*100*10%</f>
        <v>64.52000000000001</v>
      </c>
      <c r="N904" s="3" t="str" cm="1">
        <f t="array" ref="N904">_xlfn.IFS(StudentData[[#This Row],[Success_Score]]&gt;=85,"Exceptional",StudentData[[#This Row],[Success_Score]]&gt;=70,"Strong",StudentData[[#This Row],[Success_Score]]&gt;=55,"Developing",TRUE,"Needs Improvement")</f>
        <v>Developing</v>
      </c>
      <c r="O904" s="3" t="str">
        <f t="shared" si="28"/>
        <v>Low Risk</v>
      </c>
      <c r="P904" s="3" t="str">
        <f t="shared" si="29"/>
        <v>21-23</v>
      </c>
    </row>
    <row r="905" spans="1:16">
      <c r="A905" t="s">
        <v>939</v>
      </c>
      <c r="B905">
        <v>24</v>
      </c>
      <c r="C905" t="s">
        <v>4</v>
      </c>
      <c r="D905">
        <v>65.56</v>
      </c>
      <c r="E905">
        <v>10</v>
      </c>
      <c r="F905">
        <v>3.98</v>
      </c>
      <c r="G905">
        <v>23.14</v>
      </c>
      <c r="H905">
        <v>23.44</v>
      </c>
      <c r="I905">
        <v>7</v>
      </c>
      <c r="J905">
        <v>0</v>
      </c>
      <c r="K905">
        <f>(StudentData[[#This Row],[Midterm_Grade]]*40%)+(StudentData[[#This Row],[Final_Grade]]*60%)</f>
        <v>23.32</v>
      </c>
      <c r="L905">
        <f>StudentData[[#This Row],[Attendance_Percentage]]*40%+StudentData[[#This Row],[Assignments_Completed]]*2+StudentData[[#This Row],[Class_Participation]]*2+StudentData[[#This Row],[Projects_Submitted]]*4</f>
        <v>54.184000000000005</v>
      </c>
      <c r="M905">
        <f>StudentData[[#This Row],[Academic_Score]]*60%+StudentData[[#This Row],[Engagement_Score]]*30%+MIN(StudentData[[#This Row],[Study_Hours_per_Week]],20)/20*100*10%</f>
        <v>33.747199999999999</v>
      </c>
      <c r="N905" s="3" t="str" cm="1">
        <f t="array" ref="N90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05" s="3" t="str">
        <f t="shared" si="28"/>
        <v>Medium Risk</v>
      </c>
      <c r="P905" s="3" t="str">
        <f t="shared" si="29"/>
        <v>24-25</v>
      </c>
    </row>
    <row r="906" spans="1:16">
      <c r="A906" t="s">
        <v>940</v>
      </c>
      <c r="B906">
        <v>20</v>
      </c>
      <c r="C906" t="s">
        <v>4</v>
      </c>
      <c r="D906">
        <v>83.86</v>
      </c>
      <c r="E906">
        <v>7</v>
      </c>
      <c r="F906">
        <v>8.06</v>
      </c>
      <c r="G906">
        <v>40.42</v>
      </c>
      <c r="H906">
        <v>12.36</v>
      </c>
      <c r="I906">
        <v>2</v>
      </c>
      <c r="J906">
        <v>2</v>
      </c>
      <c r="K906">
        <f>(StudentData[[#This Row],[Midterm_Grade]]*40%)+(StudentData[[#This Row],[Final_Grade]]*60%)</f>
        <v>23.584000000000003</v>
      </c>
      <c r="L906">
        <f>StudentData[[#This Row],[Attendance_Percentage]]*40%+StudentData[[#This Row],[Assignments_Completed]]*2+StudentData[[#This Row],[Class_Participation]]*2+StudentData[[#This Row],[Projects_Submitted]]*4</f>
        <v>71.664000000000001</v>
      </c>
      <c r="M906">
        <f>StudentData[[#This Row],[Academic_Score]]*60%+StudentData[[#This Row],[Engagement_Score]]*30%+MIN(StudentData[[#This Row],[Study_Hours_per_Week]],20)/20*100*10%</f>
        <v>36.6496</v>
      </c>
      <c r="N906" s="3" t="str" cm="1">
        <f t="array" ref="N90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06" s="3" t="str">
        <f t="shared" si="28"/>
        <v>Medium Risk</v>
      </c>
      <c r="P906" s="3" t="str">
        <f t="shared" si="29"/>
        <v>18-20</v>
      </c>
    </row>
    <row r="907" spans="1:16">
      <c r="A907" t="s">
        <v>941</v>
      </c>
      <c r="B907">
        <v>19</v>
      </c>
      <c r="C907" t="s">
        <v>4</v>
      </c>
      <c r="D907">
        <v>80.290000000000006</v>
      </c>
      <c r="E907">
        <v>2</v>
      </c>
      <c r="F907">
        <v>5.92</v>
      </c>
      <c r="G907">
        <v>99.33</v>
      </c>
      <c r="H907">
        <v>12.37</v>
      </c>
      <c r="I907">
        <v>2</v>
      </c>
      <c r="J907">
        <v>4</v>
      </c>
      <c r="K907">
        <f>(StudentData[[#This Row],[Midterm_Grade]]*40%)+(StudentData[[#This Row],[Final_Grade]]*60%)</f>
        <v>47.153999999999996</v>
      </c>
      <c r="L907">
        <f>StudentData[[#This Row],[Attendance_Percentage]]*40%+StudentData[[#This Row],[Assignments_Completed]]*2+StudentData[[#This Row],[Class_Participation]]*2+StudentData[[#This Row],[Projects_Submitted]]*4</f>
        <v>63.956000000000003</v>
      </c>
      <c r="M907">
        <f>StudentData[[#This Row],[Academic_Score]]*60%+StudentData[[#This Row],[Engagement_Score]]*30%+MIN(StudentData[[#This Row],[Study_Hours_per_Week]],20)/20*100*10%</f>
        <v>48.479199999999999</v>
      </c>
      <c r="N907" s="3" t="str" cm="1">
        <f t="array" ref="N90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07" s="3" t="str">
        <f t="shared" si="28"/>
        <v>Medium Risk</v>
      </c>
      <c r="P907" s="3" t="str">
        <f t="shared" si="29"/>
        <v>18-20</v>
      </c>
    </row>
    <row r="908" spans="1:16">
      <c r="A908" t="s">
        <v>942</v>
      </c>
      <c r="B908">
        <v>19</v>
      </c>
      <c r="C908" t="s">
        <v>4</v>
      </c>
      <c r="D908">
        <v>68.23</v>
      </c>
      <c r="E908">
        <v>9</v>
      </c>
      <c r="F908">
        <v>1.66</v>
      </c>
      <c r="G908">
        <v>86.86</v>
      </c>
      <c r="H908">
        <v>58.33</v>
      </c>
      <c r="I908">
        <v>11</v>
      </c>
      <c r="J908">
        <v>5</v>
      </c>
      <c r="K908">
        <f>(StudentData[[#This Row],[Midterm_Grade]]*40%)+(StudentData[[#This Row],[Final_Grade]]*60%)</f>
        <v>69.74199999999999</v>
      </c>
      <c r="L908">
        <f>StudentData[[#This Row],[Attendance_Percentage]]*40%+StudentData[[#This Row],[Assignments_Completed]]*2+StudentData[[#This Row],[Class_Participation]]*2+StudentData[[#This Row],[Projects_Submitted]]*4</f>
        <v>68.611999999999995</v>
      </c>
      <c r="M908">
        <f>StudentData[[#This Row],[Academic_Score]]*60%+StudentData[[#This Row],[Engagement_Score]]*30%+MIN(StudentData[[#This Row],[Study_Hours_per_Week]],20)/20*100*10%</f>
        <v>67.928799999999995</v>
      </c>
      <c r="N908" s="3" t="str" cm="1">
        <f t="array" ref="N908">_xlfn.IFS(StudentData[[#This Row],[Success_Score]]&gt;=85,"Exceptional",StudentData[[#This Row],[Success_Score]]&gt;=70,"Strong",StudentData[[#This Row],[Success_Score]]&gt;=55,"Developing",TRUE,"Needs Improvement")</f>
        <v>Developing</v>
      </c>
      <c r="O908" s="3" t="str">
        <f t="shared" si="28"/>
        <v>Medium Risk</v>
      </c>
      <c r="P908" s="3" t="str">
        <f t="shared" si="29"/>
        <v>18-20</v>
      </c>
    </row>
    <row r="909" spans="1:16">
      <c r="A909" t="s">
        <v>943</v>
      </c>
      <c r="B909">
        <v>20</v>
      </c>
      <c r="C909" t="s">
        <v>4</v>
      </c>
      <c r="D909">
        <v>60.89</v>
      </c>
      <c r="E909">
        <v>0</v>
      </c>
      <c r="F909">
        <v>0.25</v>
      </c>
      <c r="G909">
        <v>56.46</v>
      </c>
      <c r="H909">
        <v>73.48</v>
      </c>
      <c r="I909">
        <v>16</v>
      </c>
      <c r="J909">
        <v>0</v>
      </c>
      <c r="K909">
        <f>(StudentData[[#This Row],[Midterm_Grade]]*40%)+(StudentData[[#This Row],[Final_Grade]]*60%)</f>
        <v>66.671999999999997</v>
      </c>
      <c r="L909">
        <f>StudentData[[#This Row],[Attendance_Percentage]]*40%+StudentData[[#This Row],[Assignments_Completed]]*2+StudentData[[#This Row],[Class_Participation]]*2+StudentData[[#This Row],[Projects_Submitted]]*4</f>
        <v>24.856000000000002</v>
      </c>
      <c r="M909">
        <f>StudentData[[#This Row],[Academic_Score]]*60%+StudentData[[#This Row],[Engagement_Score]]*30%+MIN(StudentData[[#This Row],[Study_Hours_per_Week]],20)/20*100*10%</f>
        <v>55.46</v>
      </c>
      <c r="N909" s="3" t="str" cm="1">
        <f t="array" ref="N909">_xlfn.IFS(StudentData[[#This Row],[Success_Score]]&gt;=85,"Exceptional",StudentData[[#This Row],[Success_Score]]&gt;=70,"Strong",StudentData[[#This Row],[Success_Score]]&gt;=55,"Developing",TRUE,"Needs Improvement")</f>
        <v>Developing</v>
      </c>
      <c r="O909" s="3" t="str">
        <f t="shared" si="28"/>
        <v>Medium Risk</v>
      </c>
      <c r="P909" s="3" t="str">
        <f t="shared" si="29"/>
        <v>18-20</v>
      </c>
    </row>
    <row r="910" spans="1:16">
      <c r="A910" t="s">
        <v>944</v>
      </c>
      <c r="B910">
        <v>24</v>
      </c>
      <c r="C910" t="s">
        <v>4</v>
      </c>
      <c r="D910">
        <v>99.4</v>
      </c>
      <c r="E910">
        <v>8</v>
      </c>
      <c r="F910">
        <v>3.63</v>
      </c>
      <c r="G910">
        <v>51.66</v>
      </c>
      <c r="H910">
        <v>32.15</v>
      </c>
      <c r="I910">
        <v>3</v>
      </c>
      <c r="J910">
        <v>0</v>
      </c>
      <c r="K910">
        <f>(StudentData[[#This Row],[Midterm_Grade]]*40%)+(StudentData[[#This Row],[Final_Grade]]*60%)</f>
        <v>39.954000000000001</v>
      </c>
      <c r="L910">
        <f>StudentData[[#This Row],[Attendance_Percentage]]*40%+StudentData[[#This Row],[Assignments_Completed]]*2+StudentData[[#This Row],[Class_Participation]]*2+StudentData[[#This Row],[Projects_Submitted]]*4</f>
        <v>63.02</v>
      </c>
      <c r="M910">
        <f>StudentData[[#This Row],[Academic_Score]]*60%+StudentData[[#This Row],[Engagement_Score]]*30%+MIN(StudentData[[#This Row],[Study_Hours_per_Week]],20)/20*100*10%</f>
        <v>44.378399999999999</v>
      </c>
      <c r="N910" s="3" t="str" cm="1">
        <f t="array" ref="N91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10" s="3" t="str">
        <f t="shared" si="28"/>
        <v>Medium Risk</v>
      </c>
      <c r="P910" s="3" t="str">
        <f t="shared" si="29"/>
        <v>24-25</v>
      </c>
    </row>
    <row r="911" spans="1:16">
      <c r="A911" t="s">
        <v>945</v>
      </c>
      <c r="B911">
        <v>23</v>
      </c>
      <c r="C911" t="s">
        <v>4</v>
      </c>
      <c r="D911">
        <v>72.7</v>
      </c>
      <c r="E911">
        <v>5</v>
      </c>
      <c r="F911">
        <v>5.47</v>
      </c>
      <c r="G911">
        <v>28.46</v>
      </c>
      <c r="H911">
        <v>3.47</v>
      </c>
      <c r="I911">
        <v>16</v>
      </c>
      <c r="J911">
        <v>0</v>
      </c>
      <c r="K911">
        <f>(StudentData[[#This Row],[Midterm_Grade]]*40%)+(StudentData[[#This Row],[Final_Grade]]*60%)</f>
        <v>13.466000000000001</v>
      </c>
      <c r="L911">
        <f>StudentData[[#This Row],[Attendance_Percentage]]*40%+StudentData[[#This Row],[Assignments_Completed]]*2+StudentData[[#This Row],[Class_Participation]]*2+StudentData[[#This Row],[Projects_Submitted]]*4</f>
        <v>50.019999999999996</v>
      </c>
      <c r="M911">
        <f>StudentData[[#This Row],[Academic_Score]]*60%+StudentData[[#This Row],[Engagement_Score]]*30%+MIN(StudentData[[#This Row],[Study_Hours_per_Week]],20)/20*100*10%</f>
        <v>31.085599999999999</v>
      </c>
      <c r="N911" s="3" t="str" cm="1">
        <f t="array" ref="N91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11" s="3" t="str">
        <f t="shared" si="28"/>
        <v>Medium Risk</v>
      </c>
      <c r="P911" s="3" t="str">
        <f t="shared" si="29"/>
        <v>21-23</v>
      </c>
    </row>
    <row r="912" spans="1:16">
      <c r="A912" t="s">
        <v>946</v>
      </c>
      <c r="B912">
        <v>20</v>
      </c>
      <c r="C912" t="s">
        <v>5</v>
      </c>
      <c r="D912">
        <v>84.41</v>
      </c>
      <c r="E912">
        <v>10</v>
      </c>
      <c r="F912">
        <v>8.4</v>
      </c>
      <c r="G912">
        <v>51.72</v>
      </c>
      <c r="H912">
        <v>12.72</v>
      </c>
      <c r="I912">
        <v>13</v>
      </c>
      <c r="J912">
        <v>2</v>
      </c>
      <c r="K912">
        <f>(StudentData[[#This Row],[Midterm_Grade]]*40%)+(StudentData[[#This Row],[Final_Grade]]*60%)</f>
        <v>28.32</v>
      </c>
      <c r="L912">
        <f>StudentData[[#This Row],[Attendance_Percentage]]*40%+StudentData[[#This Row],[Assignments_Completed]]*2+StudentData[[#This Row],[Class_Participation]]*2+StudentData[[#This Row],[Projects_Submitted]]*4</f>
        <v>78.564000000000007</v>
      </c>
      <c r="M912">
        <f>StudentData[[#This Row],[Academic_Score]]*60%+StudentData[[#This Row],[Engagement_Score]]*30%+MIN(StudentData[[#This Row],[Study_Hours_per_Week]],20)/20*100*10%</f>
        <v>47.061199999999999</v>
      </c>
      <c r="N912" s="3" t="str" cm="1">
        <f t="array" ref="N91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12" s="3" t="str">
        <f t="shared" si="28"/>
        <v>Medium Risk</v>
      </c>
      <c r="P912" s="3" t="str">
        <f t="shared" si="29"/>
        <v>18-20</v>
      </c>
    </row>
    <row r="913" spans="1:16">
      <c r="A913" t="s">
        <v>947</v>
      </c>
      <c r="B913">
        <v>22</v>
      </c>
      <c r="C913" t="s">
        <v>5</v>
      </c>
      <c r="D913">
        <v>57.03</v>
      </c>
      <c r="E913">
        <v>8</v>
      </c>
      <c r="F913">
        <v>1.27</v>
      </c>
      <c r="G913">
        <v>84.82</v>
      </c>
      <c r="H913">
        <v>91.47</v>
      </c>
      <c r="I913">
        <v>18</v>
      </c>
      <c r="J913">
        <v>0</v>
      </c>
      <c r="K913">
        <f>(StudentData[[#This Row],[Midterm_Grade]]*40%)+(StudentData[[#This Row],[Final_Grade]]*60%)</f>
        <v>88.81</v>
      </c>
      <c r="L913">
        <f>StudentData[[#This Row],[Attendance_Percentage]]*40%+StudentData[[#This Row],[Assignments_Completed]]*2+StudentData[[#This Row],[Class_Participation]]*2+StudentData[[#This Row],[Projects_Submitted]]*4</f>
        <v>41.351999999999997</v>
      </c>
      <c r="M913">
        <f>StudentData[[#This Row],[Academic_Score]]*60%+StudentData[[#This Row],[Engagement_Score]]*30%+MIN(StudentData[[#This Row],[Study_Hours_per_Week]],20)/20*100*10%</f>
        <v>74.691599999999994</v>
      </c>
      <c r="N913" s="3" t="str" cm="1">
        <f t="array" ref="N913">_xlfn.IFS(StudentData[[#This Row],[Success_Score]]&gt;=85,"Exceptional",StudentData[[#This Row],[Success_Score]]&gt;=70,"Strong",StudentData[[#This Row],[Success_Score]]&gt;=55,"Developing",TRUE,"Needs Improvement")</f>
        <v>Strong</v>
      </c>
      <c r="O913" s="3" t="str">
        <f t="shared" si="28"/>
        <v>Medium Risk</v>
      </c>
      <c r="P913" s="3" t="str">
        <f t="shared" si="29"/>
        <v>21-23</v>
      </c>
    </row>
    <row r="914" spans="1:16">
      <c r="A914" t="s">
        <v>948</v>
      </c>
      <c r="B914">
        <v>22</v>
      </c>
      <c r="C914" t="s">
        <v>5</v>
      </c>
      <c r="D914">
        <v>74.28</v>
      </c>
      <c r="E914">
        <v>6</v>
      </c>
      <c r="F914">
        <v>8</v>
      </c>
      <c r="G914">
        <v>68.52</v>
      </c>
      <c r="H914">
        <v>49.35</v>
      </c>
      <c r="I914">
        <v>8</v>
      </c>
      <c r="J914">
        <v>3</v>
      </c>
      <c r="K914">
        <f>(StudentData[[#This Row],[Midterm_Grade]]*40%)+(StudentData[[#This Row],[Final_Grade]]*60%)</f>
        <v>57.018000000000001</v>
      </c>
      <c r="L914">
        <f>StudentData[[#This Row],[Attendance_Percentage]]*40%+StudentData[[#This Row],[Assignments_Completed]]*2+StudentData[[#This Row],[Class_Participation]]*2+StudentData[[#This Row],[Projects_Submitted]]*4</f>
        <v>69.712000000000003</v>
      </c>
      <c r="M914">
        <f>StudentData[[#This Row],[Academic_Score]]*60%+StudentData[[#This Row],[Engagement_Score]]*30%+MIN(StudentData[[#This Row],[Study_Hours_per_Week]],20)/20*100*10%</f>
        <v>59.124399999999994</v>
      </c>
      <c r="N914" s="3" t="str" cm="1">
        <f t="array" ref="N914">_xlfn.IFS(StudentData[[#This Row],[Success_Score]]&gt;=85,"Exceptional",StudentData[[#This Row],[Success_Score]]&gt;=70,"Strong",StudentData[[#This Row],[Success_Score]]&gt;=55,"Developing",TRUE,"Needs Improvement")</f>
        <v>Developing</v>
      </c>
      <c r="O914" s="3" t="str">
        <f t="shared" si="28"/>
        <v>Medium Risk</v>
      </c>
      <c r="P914" s="3" t="str">
        <f t="shared" si="29"/>
        <v>21-23</v>
      </c>
    </row>
    <row r="915" spans="1:16">
      <c r="A915" t="s">
        <v>949</v>
      </c>
      <c r="B915">
        <v>19</v>
      </c>
      <c r="C915" t="s">
        <v>5</v>
      </c>
      <c r="D915">
        <v>51.38</v>
      </c>
      <c r="E915">
        <v>0</v>
      </c>
      <c r="F915">
        <v>8.6300000000000008</v>
      </c>
      <c r="G915">
        <v>29</v>
      </c>
      <c r="H915">
        <v>45.36</v>
      </c>
      <c r="I915">
        <v>11</v>
      </c>
      <c r="J915">
        <v>0</v>
      </c>
      <c r="K915">
        <f>(StudentData[[#This Row],[Midterm_Grade]]*40%)+(StudentData[[#This Row],[Final_Grade]]*60%)</f>
        <v>38.816000000000003</v>
      </c>
      <c r="L915">
        <f>StudentData[[#This Row],[Attendance_Percentage]]*40%+StudentData[[#This Row],[Assignments_Completed]]*2+StudentData[[#This Row],[Class_Participation]]*2+StudentData[[#This Row],[Projects_Submitted]]*4</f>
        <v>37.812000000000005</v>
      </c>
      <c r="M915">
        <f>StudentData[[#This Row],[Academic_Score]]*60%+StudentData[[#This Row],[Engagement_Score]]*30%+MIN(StudentData[[#This Row],[Study_Hours_per_Week]],20)/20*100*10%</f>
        <v>40.133200000000002</v>
      </c>
      <c r="N915" s="3" t="str" cm="1">
        <f t="array" ref="N91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15" s="3" t="str">
        <f t="shared" si="28"/>
        <v>High Risk</v>
      </c>
      <c r="P915" s="3" t="str">
        <f t="shared" si="29"/>
        <v>18-20</v>
      </c>
    </row>
    <row r="916" spans="1:16">
      <c r="A916" t="s">
        <v>950</v>
      </c>
      <c r="B916">
        <v>21</v>
      </c>
      <c r="C916" t="s">
        <v>4</v>
      </c>
      <c r="D916">
        <v>75.27</v>
      </c>
      <c r="E916">
        <v>0</v>
      </c>
      <c r="F916">
        <v>1.51</v>
      </c>
      <c r="G916">
        <v>20.149999999999999</v>
      </c>
      <c r="H916">
        <v>3.8</v>
      </c>
      <c r="I916">
        <v>4</v>
      </c>
      <c r="J916">
        <v>4</v>
      </c>
      <c r="K916">
        <f>(StudentData[[#This Row],[Midterm_Grade]]*40%)+(StudentData[[#This Row],[Final_Grade]]*60%)</f>
        <v>10.34</v>
      </c>
      <c r="L916">
        <f>StudentData[[#This Row],[Attendance_Percentage]]*40%+StudentData[[#This Row],[Assignments_Completed]]*2+StudentData[[#This Row],[Class_Participation]]*2+StudentData[[#This Row],[Projects_Submitted]]*4</f>
        <v>49.128</v>
      </c>
      <c r="M916">
        <f>StudentData[[#This Row],[Academic_Score]]*60%+StudentData[[#This Row],[Engagement_Score]]*30%+MIN(StudentData[[#This Row],[Study_Hours_per_Week]],20)/20*100*10%</f>
        <v>22.942399999999999</v>
      </c>
      <c r="N916" s="3" t="str" cm="1">
        <f t="array" ref="N91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16" s="3" t="str">
        <f t="shared" si="28"/>
        <v>Medium Risk</v>
      </c>
      <c r="P916" s="3" t="str">
        <f t="shared" si="29"/>
        <v>21-23</v>
      </c>
    </row>
    <row r="917" spans="1:16">
      <c r="A917" t="s">
        <v>951</v>
      </c>
      <c r="B917">
        <v>23</v>
      </c>
      <c r="C917" t="s">
        <v>6</v>
      </c>
      <c r="D917">
        <v>98.2</v>
      </c>
      <c r="E917">
        <v>5</v>
      </c>
      <c r="F917">
        <v>8.52</v>
      </c>
      <c r="G917">
        <v>26.52</v>
      </c>
      <c r="H917">
        <v>72.86</v>
      </c>
      <c r="I917">
        <v>10</v>
      </c>
      <c r="J917">
        <v>1</v>
      </c>
      <c r="K917">
        <f>(StudentData[[#This Row],[Midterm_Grade]]*40%)+(StudentData[[#This Row],[Final_Grade]]*60%)</f>
        <v>54.323999999999998</v>
      </c>
      <c r="L917">
        <f>StudentData[[#This Row],[Attendance_Percentage]]*40%+StudentData[[#This Row],[Assignments_Completed]]*2+StudentData[[#This Row],[Class_Participation]]*2+StudentData[[#This Row],[Projects_Submitted]]*4</f>
        <v>70.319999999999993</v>
      </c>
      <c r="M917">
        <f>StudentData[[#This Row],[Academic_Score]]*60%+StudentData[[#This Row],[Engagement_Score]]*30%+MIN(StudentData[[#This Row],[Study_Hours_per_Week]],20)/20*100*10%</f>
        <v>58.690399999999997</v>
      </c>
      <c r="N917" s="3" t="str" cm="1">
        <f t="array" ref="N917">_xlfn.IFS(StudentData[[#This Row],[Success_Score]]&gt;=85,"Exceptional",StudentData[[#This Row],[Success_Score]]&gt;=70,"Strong",StudentData[[#This Row],[Success_Score]]&gt;=55,"Developing",TRUE,"Needs Improvement")</f>
        <v>Developing</v>
      </c>
      <c r="O917" s="3" t="str">
        <f t="shared" si="28"/>
        <v>Medium Risk</v>
      </c>
      <c r="P917" s="3" t="str">
        <f t="shared" si="29"/>
        <v>21-23</v>
      </c>
    </row>
    <row r="918" spans="1:16">
      <c r="A918" t="s">
        <v>952</v>
      </c>
      <c r="B918">
        <v>19</v>
      </c>
      <c r="C918" t="s">
        <v>5</v>
      </c>
      <c r="D918">
        <v>69.209999999999994</v>
      </c>
      <c r="E918">
        <v>4</v>
      </c>
      <c r="F918">
        <v>9.91</v>
      </c>
      <c r="G918">
        <v>16.98</v>
      </c>
      <c r="H918">
        <v>52.81</v>
      </c>
      <c r="I918">
        <v>19</v>
      </c>
      <c r="J918">
        <v>4</v>
      </c>
      <c r="K918">
        <f>(StudentData[[#This Row],[Midterm_Grade]]*40%)+(StudentData[[#This Row],[Final_Grade]]*60%)</f>
        <v>38.478000000000002</v>
      </c>
      <c r="L918">
        <f>StudentData[[#This Row],[Attendance_Percentage]]*40%+StudentData[[#This Row],[Assignments_Completed]]*2+StudentData[[#This Row],[Class_Participation]]*2+StudentData[[#This Row],[Projects_Submitted]]*4</f>
        <v>71.503999999999991</v>
      </c>
      <c r="M918">
        <f>StudentData[[#This Row],[Academic_Score]]*60%+StudentData[[#This Row],[Engagement_Score]]*30%+MIN(StudentData[[#This Row],[Study_Hours_per_Week]],20)/20*100*10%</f>
        <v>54.037999999999997</v>
      </c>
      <c r="N918" s="3" t="str" cm="1">
        <f t="array" ref="N91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18" s="3" t="str">
        <f t="shared" si="28"/>
        <v>Medium Risk</v>
      </c>
      <c r="P918" s="3" t="str">
        <f t="shared" si="29"/>
        <v>18-20</v>
      </c>
    </row>
    <row r="919" spans="1:16">
      <c r="A919" t="s">
        <v>953</v>
      </c>
      <c r="B919">
        <v>21</v>
      </c>
      <c r="C919" t="s">
        <v>5</v>
      </c>
      <c r="D919">
        <v>51.95</v>
      </c>
      <c r="E919">
        <v>8</v>
      </c>
      <c r="F919">
        <v>7.27</v>
      </c>
      <c r="G919">
        <v>9.56</v>
      </c>
      <c r="H919">
        <v>20.21</v>
      </c>
      <c r="I919">
        <v>2</v>
      </c>
      <c r="J919">
        <v>2</v>
      </c>
      <c r="K919">
        <f>(StudentData[[#This Row],[Midterm_Grade]]*40%)+(StudentData[[#This Row],[Final_Grade]]*60%)</f>
        <v>15.95</v>
      </c>
      <c r="L919">
        <f>StudentData[[#This Row],[Attendance_Percentage]]*40%+StudentData[[#This Row],[Assignments_Completed]]*2+StudentData[[#This Row],[Class_Participation]]*2+StudentData[[#This Row],[Projects_Submitted]]*4</f>
        <v>59.32</v>
      </c>
      <c r="M919">
        <f>StudentData[[#This Row],[Academic_Score]]*60%+StudentData[[#This Row],[Engagement_Score]]*30%+MIN(StudentData[[#This Row],[Study_Hours_per_Week]],20)/20*100*10%</f>
        <v>28.366</v>
      </c>
      <c r="N919" s="3" t="str" cm="1">
        <f t="array" ref="N91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19" s="3" t="str">
        <f t="shared" si="28"/>
        <v>High Risk</v>
      </c>
      <c r="P919" s="3" t="str">
        <f t="shared" si="29"/>
        <v>21-23</v>
      </c>
    </row>
    <row r="920" spans="1:16">
      <c r="A920" t="s">
        <v>954</v>
      </c>
      <c r="B920">
        <v>21</v>
      </c>
      <c r="C920" t="s">
        <v>4</v>
      </c>
      <c r="D920">
        <v>51.55</v>
      </c>
      <c r="E920">
        <v>1</v>
      </c>
      <c r="F920">
        <v>7.85</v>
      </c>
      <c r="G920">
        <v>41.91</v>
      </c>
      <c r="H920">
        <v>11.01</v>
      </c>
      <c r="I920">
        <v>14</v>
      </c>
      <c r="J920">
        <v>0</v>
      </c>
      <c r="K920">
        <f>(StudentData[[#This Row],[Midterm_Grade]]*40%)+(StudentData[[#This Row],[Final_Grade]]*60%)</f>
        <v>23.369999999999997</v>
      </c>
      <c r="L920">
        <f>StudentData[[#This Row],[Attendance_Percentage]]*40%+StudentData[[#This Row],[Assignments_Completed]]*2+StudentData[[#This Row],[Class_Participation]]*2+StudentData[[#This Row],[Projects_Submitted]]*4</f>
        <v>38.32</v>
      </c>
      <c r="M920">
        <f>StudentData[[#This Row],[Academic_Score]]*60%+StudentData[[#This Row],[Engagement_Score]]*30%+MIN(StudentData[[#This Row],[Study_Hours_per_Week]],20)/20*100*10%</f>
        <v>32.518000000000001</v>
      </c>
      <c r="N920" s="3" t="str" cm="1">
        <f t="array" ref="N92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20" s="3" t="str">
        <f t="shared" si="28"/>
        <v>High Risk</v>
      </c>
      <c r="P920" s="3" t="str">
        <f t="shared" si="29"/>
        <v>21-23</v>
      </c>
    </row>
    <row r="921" spans="1:16">
      <c r="A921" t="s">
        <v>955</v>
      </c>
      <c r="B921">
        <v>25</v>
      </c>
      <c r="C921" t="s">
        <v>6</v>
      </c>
      <c r="D921">
        <v>69.400000000000006</v>
      </c>
      <c r="E921">
        <v>7</v>
      </c>
      <c r="F921">
        <v>9.94</v>
      </c>
      <c r="G921">
        <v>11.33</v>
      </c>
      <c r="H921">
        <v>38.340000000000003</v>
      </c>
      <c r="I921">
        <v>13</v>
      </c>
      <c r="J921">
        <v>0</v>
      </c>
      <c r="K921">
        <f>(StudentData[[#This Row],[Midterm_Grade]]*40%)+(StudentData[[#This Row],[Final_Grade]]*60%)</f>
        <v>27.536000000000001</v>
      </c>
      <c r="L921">
        <f>StudentData[[#This Row],[Attendance_Percentage]]*40%+StudentData[[#This Row],[Assignments_Completed]]*2+StudentData[[#This Row],[Class_Participation]]*2+StudentData[[#This Row],[Projects_Submitted]]*4</f>
        <v>61.64</v>
      </c>
      <c r="M921">
        <f>StudentData[[#This Row],[Academic_Score]]*60%+StudentData[[#This Row],[Engagement_Score]]*30%+MIN(StudentData[[#This Row],[Study_Hours_per_Week]],20)/20*100*10%</f>
        <v>41.513599999999997</v>
      </c>
      <c r="N921" s="3" t="str" cm="1">
        <f t="array" ref="N92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21" s="3" t="str">
        <f t="shared" si="28"/>
        <v>Medium Risk</v>
      </c>
      <c r="P921" s="3" t="str">
        <f t="shared" si="29"/>
        <v>24-25</v>
      </c>
    </row>
    <row r="922" spans="1:16">
      <c r="A922" t="s">
        <v>956</v>
      </c>
      <c r="B922">
        <v>22</v>
      </c>
      <c r="C922" t="s">
        <v>5</v>
      </c>
      <c r="D922">
        <v>58</v>
      </c>
      <c r="E922">
        <v>10</v>
      </c>
      <c r="F922">
        <v>6.05</v>
      </c>
      <c r="G922">
        <v>17.190000000000001</v>
      </c>
      <c r="H922">
        <v>83.72</v>
      </c>
      <c r="I922">
        <v>10</v>
      </c>
      <c r="J922">
        <v>3</v>
      </c>
      <c r="K922">
        <f>(StudentData[[#This Row],[Midterm_Grade]]*40%)+(StudentData[[#This Row],[Final_Grade]]*60%)</f>
        <v>57.108000000000004</v>
      </c>
      <c r="L922">
        <f>StudentData[[#This Row],[Attendance_Percentage]]*40%+StudentData[[#This Row],[Assignments_Completed]]*2+StudentData[[#This Row],[Class_Participation]]*2+StudentData[[#This Row],[Projects_Submitted]]*4</f>
        <v>67.300000000000011</v>
      </c>
      <c r="M922">
        <f>StudentData[[#This Row],[Academic_Score]]*60%+StudentData[[#This Row],[Engagement_Score]]*30%+MIN(StudentData[[#This Row],[Study_Hours_per_Week]],20)/20*100*10%</f>
        <v>59.454800000000006</v>
      </c>
      <c r="N922" s="3" t="str" cm="1">
        <f t="array" ref="N922">_xlfn.IFS(StudentData[[#This Row],[Success_Score]]&gt;=85,"Exceptional",StudentData[[#This Row],[Success_Score]]&gt;=70,"Strong",StudentData[[#This Row],[Success_Score]]&gt;=55,"Developing",TRUE,"Needs Improvement")</f>
        <v>Developing</v>
      </c>
      <c r="O922" s="3" t="str">
        <f t="shared" si="28"/>
        <v>Medium Risk</v>
      </c>
      <c r="P922" s="3" t="str">
        <f t="shared" si="29"/>
        <v>21-23</v>
      </c>
    </row>
    <row r="923" spans="1:16">
      <c r="A923" t="s">
        <v>957</v>
      </c>
      <c r="B923">
        <v>24</v>
      </c>
      <c r="C923" t="s">
        <v>4</v>
      </c>
      <c r="D923">
        <v>51.17</v>
      </c>
      <c r="E923">
        <v>4</v>
      </c>
      <c r="F923">
        <v>3.08</v>
      </c>
      <c r="G923">
        <v>54.73</v>
      </c>
      <c r="H923">
        <v>86.53</v>
      </c>
      <c r="I923">
        <v>19</v>
      </c>
      <c r="J923">
        <v>5</v>
      </c>
      <c r="K923">
        <f>(StudentData[[#This Row],[Midterm_Grade]]*40%)+(StudentData[[#This Row],[Final_Grade]]*60%)</f>
        <v>73.81</v>
      </c>
      <c r="L923">
        <f>StudentData[[#This Row],[Attendance_Percentage]]*40%+StudentData[[#This Row],[Assignments_Completed]]*2+StudentData[[#This Row],[Class_Participation]]*2+StudentData[[#This Row],[Projects_Submitted]]*4</f>
        <v>54.628</v>
      </c>
      <c r="M923">
        <f>StudentData[[#This Row],[Academic_Score]]*60%+StudentData[[#This Row],[Engagement_Score]]*30%+MIN(StudentData[[#This Row],[Study_Hours_per_Week]],20)/20*100*10%</f>
        <v>70.174400000000006</v>
      </c>
      <c r="N923" s="3" t="str" cm="1">
        <f t="array" ref="N923">_xlfn.IFS(StudentData[[#This Row],[Success_Score]]&gt;=85,"Exceptional",StudentData[[#This Row],[Success_Score]]&gt;=70,"Strong",StudentData[[#This Row],[Success_Score]]&gt;=55,"Developing",TRUE,"Needs Improvement")</f>
        <v>Strong</v>
      </c>
      <c r="O923" s="3" t="str">
        <f t="shared" si="28"/>
        <v>Medium Risk</v>
      </c>
      <c r="P923" s="3" t="str">
        <f t="shared" si="29"/>
        <v>24-25</v>
      </c>
    </row>
    <row r="924" spans="1:16">
      <c r="A924" t="s">
        <v>958</v>
      </c>
      <c r="B924">
        <v>18</v>
      </c>
      <c r="C924" t="s">
        <v>5</v>
      </c>
      <c r="D924">
        <v>87.81</v>
      </c>
      <c r="E924">
        <v>1</v>
      </c>
      <c r="F924">
        <v>8.3800000000000008</v>
      </c>
      <c r="G924">
        <v>16.46</v>
      </c>
      <c r="H924">
        <v>60.28</v>
      </c>
      <c r="I924">
        <v>7</v>
      </c>
      <c r="J924">
        <v>0</v>
      </c>
      <c r="K924">
        <f>(StudentData[[#This Row],[Midterm_Grade]]*40%)+(StudentData[[#This Row],[Final_Grade]]*60%)</f>
        <v>42.752000000000002</v>
      </c>
      <c r="L924">
        <f>StudentData[[#This Row],[Attendance_Percentage]]*40%+StudentData[[#This Row],[Assignments_Completed]]*2+StudentData[[#This Row],[Class_Participation]]*2+StudentData[[#This Row],[Projects_Submitted]]*4</f>
        <v>53.884</v>
      </c>
      <c r="M924">
        <f>StudentData[[#This Row],[Academic_Score]]*60%+StudentData[[#This Row],[Engagement_Score]]*30%+MIN(StudentData[[#This Row],[Study_Hours_per_Week]],20)/20*100*10%</f>
        <v>45.316400000000002</v>
      </c>
      <c r="N924" s="3" t="str" cm="1">
        <f t="array" ref="N92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24" s="3" t="str">
        <f t="shared" si="28"/>
        <v>Medium Risk</v>
      </c>
      <c r="P924" s="3" t="str">
        <f t="shared" si="29"/>
        <v>18-20</v>
      </c>
    </row>
    <row r="925" spans="1:16">
      <c r="A925" t="s">
        <v>959</v>
      </c>
      <c r="B925">
        <v>24</v>
      </c>
      <c r="C925" t="s">
        <v>5</v>
      </c>
      <c r="D925">
        <v>72.930000000000007</v>
      </c>
      <c r="E925">
        <v>9</v>
      </c>
      <c r="F925">
        <v>6.14</v>
      </c>
      <c r="G925">
        <v>6.39</v>
      </c>
      <c r="H925">
        <v>72.75</v>
      </c>
      <c r="I925">
        <v>3</v>
      </c>
      <c r="J925">
        <v>4</v>
      </c>
      <c r="K925">
        <f>(StudentData[[#This Row],[Midterm_Grade]]*40%)+(StudentData[[#This Row],[Final_Grade]]*60%)</f>
        <v>46.205999999999996</v>
      </c>
      <c r="L925">
        <f>StudentData[[#This Row],[Attendance_Percentage]]*40%+StudentData[[#This Row],[Assignments_Completed]]*2+StudentData[[#This Row],[Class_Participation]]*2+StudentData[[#This Row],[Projects_Submitted]]*4</f>
        <v>75.451999999999998</v>
      </c>
      <c r="M925">
        <f>StudentData[[#This Row],[Academic_Score]]*60%+StudentData[[#This Row],[Engagement_Score]]*30%+MIN(StudentData[[#This Row],[Study_Hours_per_Week]],20)/20*100*10%</f>
        <v>51.859200000000001</v>
      </c>
      <c r="N925" s="3" t="str" cm="1">
        <f t="array" ref="N92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25" s="3" t="str">
        <f t="shared" si="28"/>
        <v>Medium Risk</v>
      </c>
      <c r="P925" s="3" t="str">
        <f t="shared" si="29"/>
        <v>24-25</v>
      </c>
    </row>
    <row r="926" spans="1:16">
      <c r="A926" t="s">
        <v>960</v>
      </c>
      <c r="B926">
        <v>18</v>
      </c>
      <c r="C926" t="s">
        <v>6</v>
      </c>
      <c r="D926">
        <v>64.459999999999994</v>
      </c>
      <c r="E926">
        <v>10</v>
      </c>
      <c r="F926">
        <v>5.81</v>
      </c>
      <c r="G926">
        <v>31.74</v>
      </c>
      <c r="H926">
        <v>11.52</v>
      </c>
      <c r="I926">
        <v>11</v>
      </c>
      <c r="J926">
        <v>2</v>
      </c>
      <c r="K926">
        <f>(StudentData[[#This Row],[Midterm_Grade]]*40%)+(StudentData[[#This Row],[Final_Grade]]*60%)</f>
        <v>19.608000000000001</v>
      </c>
      <c r="L926">
        <f>StudentData[[#This Row],[Attendance_Percentage]]*40%+StudentData[[#This Row],[Assignments_Completed]]*2+StudentData[[#This Row],[Class_Participation]]*2+StudentData[[#This Row],[Projects_Submitted]]*4</f>
        <v>65.403999999999996</v>
      </c>
      <c r="M926">
        <f>StudentData[[#This Row],[Academic_Score]]*60%+StudentData[[#This Row],[Engagement_Score]]*30%+MIN(StudentData[[#This Row],[Study_Hours_per_Week]],20)/20*100*10%</f>
        <v>36.885999999999996</v>
      </c>
      <c r="N926" s="3" t="str" cm="1">
        <f t="array" ref="N92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26" s="3" t="str">
        <f t="shared" si="28"/>
        <v>Medium Risk</v>
      </c>
      <c r="P926" s="3" t="str">
        <f t="shared" si="29"/>
        <v>18-20</v>
      </c>
    </row>
    <row r="927" spans="1:16">
      <c r="A927" t="s">
        <v>961</v>
      </c>
      <c r="B927">
        <v>20</v>
      </c>
      <c r="C927" t="s">
        <v>6</v>
      </c>
      <c r="D927">
        <v>95</v>
      </c>
      <c r="E927">
        <v>10</v>
      </c>
      <c r="F927">
        <v>2.54</v>
      </c>
      <c r="G927">
        <v>22.03</v>
      </c>
      <c r="H927">
        <v>58.81</v>
      </c>
      <c r="I927">
        <v>7</v>
      </c>
      <c r="J927">
        <v>1</v>
      </c>
      <c r="K927">
        <f>(StudentData[[#This Row],[Midterm_Grade]]*40%)+(StudentData[[#This Row],[Final_Grade]]*60%)</f>
        <v>44.097999999999999</v>
      </c>
      <c r="L927">
        <f>StudentData[[#This Row],[Attendance_Percentage]]*40%+StudentData[[#This Row],[Assignments_Completed]]*2+StudentData[[#This Row],[Class_Participation]]*2+StudentData[[#This Row],[Projects_Submitted]]*4</f>
        <v>67.08</v>
      </c>
      <c r="M927">
        <f>StudentData[[#This Row],[Academic_Score]]*60%+StudentData[[#This Row],[Engagement_Score]]*30%+MIN(StudentData[[#This Row],[Study_Hours_per_Week]],20)/20*100*10%</f>
        <v>50.082799999999999</v>
      </c>
      <c r="N927" s="3" t="str" cm="1">
        <f t="array" ref="N92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27" s="3" t="str">
        <f t="shared" si="28"/>
        <v>Medium Risk</v>
      </c>
      <c r="P927" s="3" t="str">
        <f t="shared" si="29"/>
        <v>18-20</v>
      </c>
    </row>
    <row r="928" spans="1:16">
      <c r="A928" t="s">
        <v>962</v>
      </c>
      <c r="B928">
        <v>22</v>
      </c>
      <c r="C928" t="s">
        <v>5</v>
      </c>
      <c r="D928">
        <v>55.81</v>
      </c>
      <c r="E928">
        <v>5</v>
      </c>
      <c r="F928">
        <v>7.56</v>
      </c>
      <c r="G928">
        <v>51.53</v>
      </c>
      <c r="H928">
        <v>66.7</v>
      </c>
      <c r="I928">
        <v>5</v>
      </c>
      <c r="J928">
        <v>0</v>
      </c>
      <c r="K928">
        <f>(StudentData[[#This Row],[Midterm_Grade]]*40%)+(StudentData[[#This Row],[Final_Grade]]*60%)</f>
        <v>60.632000000000005</v>
      </c>
      <c r="L928">
        <f>StudentData[[#This Row],[Attendance_Percentage]]*40%+StudentData[[#This Row],[Assignments_Completed]]*2+StudentData[[#This Row],[Class_Participation]]*2+StudentData[[#This Row],[Projects_Submitted]]*4</f>
        <v>47.443999999999996</v>
      </c>
      <c r="M928">
        <f>StudentData[[#This Row],[Academic_Score]]*60%+StudentData[[#This Row],[Engagement_Score]]*30%+MIN(StudentData[[#This Row],[Study_Hours_per_Week]],20)/20*100*10%</f>
        <v>53.112400000000001</v>
      </c>
      <c r="N928" s="3" t="str" cm="1">
        <f t="array" ref="N92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28" s="3" t="str">
        <f t="shared" si="28"/>
        <v>Medium Risk</v>
      </c>
      <c r="P928" s="3" t="str">
        <f t="shared" si="29"/>
        <v>21-23</v>
      </c>
    </row>
    <row r="929" spans="1:16">
      <c r="A929" t="s">
        <v>963</v>
      </c>
      <c r="B929">
        <v>21</v>
      </c>
      <c r="C929" t="s">
        <v>6</v>
      </c>
      <c r="D929">
        <v>97.8</v>
      </c>
      <c r="E929">
        <v>9</v>
      </c>
      <c r="F929">
        <v>0.82</v>
      </c>
      <c r="G929">
        <v>10.24</v>
      </c>
      <c r="H929">
        <v>20.07</v>
      </c>
      <c r="I929">
        <v>14</v>
      </c>
      <c r="J929">
        <v>1</v>
      </c>
      <c r="K929">
        <f>(StudentData[[#This Row],[Midterm_Grade]]*40%)+(StudentData[[#This Row],[Final_Grade]]*60%)</f>
        <v>16.137999999999998</v>
      </c>
      <c r="L929">
        <f>StudentData[[#This Row],[Attendance_Percentage]]*40%+StudentData[[#This Row],[Assignments_Completed]]*2+StudentData[[#This Row],[Class_Participation]]*2+StudentData[[#This Row],[Projects_Submitted]]*4</f>
        <v>62.760000000000005</v>
      </c>
      <c r="M929">
        <f>StudentData[[#This Row],[Academic_Score]]*60%+StudentData[[#This Row],[Engagement_Score]]*30%+MIN(StudentData[[#This Row],[Study_Hours_per_Week]],20)/20*100*10%</f>
        <v>35.510799999999996</v>
      </c>
      <c r="N929" s="3" t="str" cm="1">
        <f t="array" ref="N92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29" s="3" t="str">
        <f t="shared" si="28"/>
        <v>Medium Risk</v>
      </c>
      <c r="P929" s="3" t="str">
        <f t="shared" si="29"/>
        <v>21-23</v>
      </c>
    </row>
    <row r="930" spans="1:16">
      <c r="A930" t="s">
        <v>964</v>
      </c>
      <c r="B930">
        <v>23</v>
      </c>
      <c r="C930" t="s">
        <v>4</v>
      </c>
      <c r="D930">
        <v>65.7</v>
      </c>
      <c r="E930">
        <v>7</v>
      </c>
      <c r="F930">
        <v>9.24</v>
      </c>
      <c r="G930">
        <v>75.180000000000007</v>
      </c>
      <c r="H930">
        <v>88.02</v>
      </c>
      <c r="I930">
        <v>11</v>
      </c>
      <c r="J930">
        <v>0</v>
      </c>
      <c r="K930">
        <f>(StudentData[[#This Row],[Midterm_Grade]]*40%)+(StudentData[[#This Row],[Final_Grade]]*60%)</f>
        <v>82.884</v>
      </c>
      <c r="L930">
        <f>StudentData[[#This Row],[Attendance_Percentage]]*40%+StudentData[[#This Row],[Assignments_Completed]]*2+StudentData[[#This Row],[Class_Participation]]*2+StudentData[[#This Row],[Projects_Submitted]]*4</f>
        <v>58.760000000000005</v>
      </c>
      <c r="M930">
        <f>StudentData[[#This Row],[Academic_Score]]*60%+StudentData[[#This Row],[Engagement_Score]]*30%+MIN(StudentData[[#This Row],[Study_Hours_per_Week]],20)/20*100*10%</f>
        <v>72.858399999999989</v>
      </c>
      <c r="N930" s="3" t="str" cm="1">
        <f t="array" ref="N930">_xlfn.IFS(StudentData[[#This Row],[Success_Score]]&gt;=85,"Exceptional",StudentData[[#This Row],[Success_Score]]&gt;=70,"Strong",StudentData[[#This Row],[Success_Score]]&gt;=55,"Developing",TRUE,"Needs Improvement")</f>
        <v>Strong</v>
      </c>
      <c r="O930" s="3" t="str">
        <f t="shared" si="28"/>
        <v>Medium Risk</v>
      </c>
      <c r="P930" s="3" t="str">
        <f t="shared" si="29"/>
        <v>21-23</v>
      </c>
    </row>
    <row r="931" spans="1:16">
      <c r="A931" t="s">
        <v>965</v>
      </c>
      <c r="B931">
        <v>18</v>
      </c>
      <c r="C931" t="s">
        <v>4</v>
      </c>
      <c r="D931">
        <v>94.42</v>
      </c>
      <c r="E931">
        <v>3</v>
      </c>
      <c r="F931">
        <v>3.26</v>
      </c>
      <c r="G931">
        <v>90.62</v>
      </c>
      <c r="H931">
        <v>19.5</v>
      </c>
      <c r="I931">
        <v>15</v>
      </c>
      <c r="J931">
        <v>2</v>
      </c>
      <c r="K931">
        <f>(StudentData[[#This Row],[Midterm_Grade]]*40%)+(StudentData[[#This Row],[Final_Grade]]*60%)</f>
        <v>47.948000000000008</v>
      </c>
      <c r="L931">
        <f>StudentData[[#This Row],[Attendance_Percentage]]*40%+StudentData[[#This Row],[Assignments_Completed]]*2+StudentData[[#This Row],[Class_Participation]]*2+StudentData[[#This Row],[Projects_Submitted]]*4</f>
        <v>58.287999999999997</v>
      </c>
      <c r="M931">
        <f>StudentData[[#This Row],[Academic_Score]]*60%+StudentData[[#This Row],[Engagement_Score]]*30%+MIN(StudentData[[#This Row],[Study_Hours_per_Week]],20)/20*100*10%</f>
        <v>53.755200000000002</v>
      </c>
      <c r="N931" s="3" t="str" cm="1">
        <f t="array" ref="N93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31" s="3" t="str">
        <f t="shared" si="28"/>
        <v>Medium Risk</v>
      </c>
      <c r="P931" s="3" t="str">
        <f t="shared" si="29"/>
        <v>18-20</v>
      </c>
    </row>
    <row r="932" spans="1:16">
      <c r="A932" t="s">
        <v>966</v>
      </c>
      <c r="B932">
        <v>24</v>
      </c>
      <c r="C932" t="s">
        <v>4</v>
      </c>
      <c r="D932">
        <v>80.150000000000006</v>
      </c>
      <c r="E932">
        <v>1</v>
      </c>
      <c r="F932">
        <v>1.28</v>
      </c>
      <c r="G932">
        <v>74.34</v>
      </c>
      <c r="H932">
        <v>31.35</v>
      </c>
      <c r="I932">
        <v>15</v>
      </c>
      <c r="J932">
        <v>5</v>
      </c>
      <c r="K932">
        <f>(StudentData[[#This Row],[Midterm_Grade]]*40%)+(StudentData[[#This Row],[Final_Grade]]*60%)</f>
        <v>48.546000000000006</v>
      </c>
      <c r="L932">
        <f>StudentData[[#This Row],[Attendance_Percentage]]*40%+StudentData[[#This Row],[Assignments_Completed]]*2+StudentData[[#This Row],[Class_Participation]]*2+StudentData[[#This Row],[Projects_Submitted]]*4</f>
        <v>56.620000000000005</v>
      </c>
      <c r="M932">
        <f>StudentData[[#This Row],[Academic_Score]]*60%+StudentData[[#This Row],[Engagement_Score]]*30%+MIN(StudentData[[#This Row],[Study_Hours_per_Week]],20)/20*100*10%</f>
        <v>53.613600000000005</v>
      </c>
      <c r="N932" s="3" t="str" cm="1">
        <f t="array" ref="N93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32" s="3" t="str">
        <f t="shared" si="28"/>
        <v>Medium Risk</v>
      </c>
      <c r="P932" s="3" t="str">
        <f t="shared" si="29"/>
        <v>24-25</v>
      </c>
    </row>
    <row r="933" spans="1:16">
      <c r="A933" t="s">
        <v>967</v>
      </c>
      <c r="B933">
        <v>21</v>
      </c>
      <c r="C933" t="s">
        <v>4</v>
      </c>
      <c r="D933">
        <v>91.34</v>
      </c>
      <c r="E933">
        <v>10</v>
      </c>
      <c r="F933">
        <v>4.42</v>
      </c>
      <c r="G933">
        <v>53.28</v>
      </c>
      <c r="H933">
        <v>62.06</v>
      </c>
      <c r="I933">
        <v>19</v>
      </c>
      <c r="J933">
        <v>4</v>
      </c>
      <c r="K933">
        <f>(StudentData[[#This Row],[Midterm_Grade]]*40%)+(StudentData[[#This Row],[Final_Grade]]*60%)</f>
        <v>58.548000000000002</v>
      </c>
      <c r="L933">
        <f>StudentData[[#This Row],[Attendance_Percentage]]*40%+StudentData[[#This Row],[Assignments_Completed]]*2+StudentData[[#This Row],[Class_Participation]]*2+StudentData[[#This Row],[Projects_Submitted]]*4</f>
        <v>81.376000000000005</v>
      </c>
      <c r="M933">
        <f>StudentData[[#This Row],[Academic_Score]]*60%+StudentData[[#This Row],[Engagement_Score]]*30%+MIN(StudentData[[#This Row],[Study_Hours_per_Week]],20)/20*100*10%</f>
        <v>69.041600000000003</v>
      </c>
      <c r="N933" s="3" t="str" cm="1">
        <f t="array" ref="N933">_xlfn.IFS(StudentData[[#This Row],[Success_Score]]&gt;=85,"Exceptional",StudentData[[#This Row],[Success_Score]]&gt;=70,"Strong",StudentData[[#This Row],[Success_Score]]&gt;=55,"Developing",TRUE,"Needs Improvement")</f>
        <v>Developing</v>
      </c>
      <c r="O933" s="3" t="str">
        <f t="shared" si="28"/>
        <v>Medium Risk</v>
      </c>
      <c r="P933" s="3" t="str">
        <f t="shared" si="29"/>
        <v>21-23</v>
      </c>
    </row>
    <row r="934" spans="1:16">
      <c r="A934" t="s">
        <v>968</v>
      </c>
      <c r="B934">
        <v>18</v>
      </c>
      <c r="C934" t="s">
        <v>4</v>
      </c>
      <c r="D934">
        <v>99.2</v>
      </c>
      <c r="E934">
        <v>4</v>
      </c>
      <c r="F934">
        <v>0.42</v>
      </c>
      <c r="G934">
        <v>86.07</v>
      </c>
      <c r="H934">
        <v>63.84</v>
      </c>
      <c r="I934">
        <v>19</v>
      </c>
      <c r="J934">
        <v>2</v>
      </c>
      <c r="K934">
        <f>(StudentData[[#This Row],[Midterm_Grade]]*40%)+(StudentData[[#This Row],[Final_Grade]]*60%)</f>
        <v>72.731999999999999</v>
      </c>
      <c r="L934">
        <f>StudentData[[#This Row],[Attendance_Percentage]]*40%+StudentData[[#This Row],[Assignments_Completed]]*2+StudentData[[#This Row],[Class_Participation]]*2+StudentData[[#This Row],[Projects_Submitted]]*4</f>
        <v>56.52000000000001</v>
      </c>
      <c r="M934">
        <f>StudentData[[#This Row],[Academic_Score]]*60%+StudentData[[#This Row],[Engagement_Score]]*30%+MIN(StudentData[[#This Row],[Study_Hours_per_Week]],20)/20*100*10%</f>
        <v>70.095200000000006</v>
      </c>
      <c r="N934" s="3" t="str" cm="1">
        <f t="array" ref="N934">_xlfn.IFS(StudentData[[#This Row],[Success_Score]]&gt;=85,"Exceptional",StudentData[[#This Row],[Success_Score]]&gt;=70,"Strong",StudentData[[#This Row],[Success_Score]]&gt;=55,"Developing",TRUE,"Needs Improvement")</f>
        <v>Strong</v>
      </c>
      <c r="O934" s="3" t="str">
        <f t="shared" si="28"/>
        <v>Low Risk</v>
      </c>
      <c r="P934" s="3" t="str">
        <f t="shared" si="29"/>
        <v>18-20</v>
      </c>
    </row>
    <row r="935" spans="1:16">
      <c r="A935" t="s">
        <v>969</v>
      </c>
      <c r="B935">
        <v>18</v>
      </c>
      <c r="C935" t="s">
        <v>4</v>
      </c>
      <c r="D935">
        <v>64.42</v>
      </c>
      <c r="E935">
        <v>1</v>
      </c>
      <c r="F935">
        <v>6.85</v>
      </c>
      <c r="G935">
        <v>69.489999999999995</v>
      </c>
      <c r="H935">
        <v>69.94</v>
      </c>
      <c r="I935">
        <v>3</v>
      </c>
      <c r="J935">
        <v>1</v>
      </c>
      <c r="K935">
        <f>(StudentData[[#This Row],[Midterm_Grade]]*40%)+(StudentData[[#This Row],[Final_Grade]]*60%)</f>
        <v>69.759999999999991</v>
      </c>
      <c r="L935">
        <f>StudentData[[#This Row],[Attendance_Percentage]]*40%+StudentData[[#This Row],[Assignments_Completed]]*2+StudentData[[#This Row],[Class_Participation]]*2+StudentData[[#This Row],[Projects_Submitted]]*4</f>
        <v>45.468000000000004</v>
      </c>
      <c r="M935">
        <f>StudentData[[#This Row],[Academic_Score]]*60%+StudentData[[#This Row],[Engagement_Score]]*30%+MIN(StudentData[[#This Row],[Study_Hours_per_Week]],20)/20*100*10%</f>
        <v>56.996399999999994</v>
      </c>
      <c r="N935" s="3" t="str" cm="1">
        <f t="array" ref="N935">_xlfn.IFS(StudentData[[#This Row],[Success_Score]]&gt;=85,"Exceptional",StudentData[[#This Row],[Success_Score]]&gt;=70,"Strong",StudentData[[#This Row],[Success_Score]]&gt;=55,"Developing",TRUE,"Needs Improvement")</f>
        <v>Developing</v>
      </c>
      <c r="O935" s="3" t="str">
        <f t="shared" si="28"/>
        <v>Medium Risk</v>
      </c>
      <c r="P935" s="3" t="str">
        <f t="shared" si="29"/>
        <v>18-20</v>
      </c>
    </row>
    <row r="936" spans="1:16">
      <c r="A936" t="s">
        <v>970</v>
      </c>
      <c r="B936">
        <v>25</v>
      </c>
      <c r="C936" t="s">
        <v>5</v>
      </c>
      <c r="D936">
        <v>98.06</v>
      </c>
      <c r="E936">
        <v>1</v>
      </c>
      <c r="F936">
        <v>9.0299999999999994</v>
      </c>
      <c r="G936">
        <v>1.06</v>
      </c>
      <c r="H936">
        <v>11.2</v>
      </c>
      <c r="I936">
        <v>10</v>
      </c>
      <c r="J936">
        <v>0</v>
      </c>
      <c r="K936">
        <f>(StudentData[[#This Row],[Midterm_Grade]]*40%)+(StudentData[[#This Row],[Final_Grade]]*60%)</f>
        <v>7.1440000000000001</v>
      </c>
      <c r="L936">
        <f>StudentData[[#This Row],[Attendance_Percentage]]*40%+StudentData[[#This Row],[Assignments_Completed]]*2+StudentData[[#This Row],[Class_Participation]]*2+StudentData[[#This Row],[Projects_Submitted]]*4</f>
        <v>59.284000000000006</v>
      </c>
      <c r="M936">
        <f>StudentData[[#This Row],[Academic_Score]]*60%+StudentData[[#This Row],[Engagement_Score]]*30%+MIN(StudentData[[#This Row],[Study_Hours_per_Week]],20)/20*100*10%</f>
        <v>27.0716</v>
      </c>
      <c r="N936" s="3" t="str" cm="1">
        <f t="array" ref="N93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36" s="3" t="str">
        <f t="shared" si="28"/>
        <v>Medium Risk</v>
      </c>
      <c r="P936" s="3" t="str">
        <f t="shared" si="29"/>
        <v>24-25</v>
      </c>
    </row>
    <row r="937" spans="1:16">
      <c r="A937" t="s">
        <v>971</v>
      </c>
      <c r="B937">
        <v>18</v>
      </c>
      <c r="C937" t="s">
        <v>5</v>
      </c>
      <c r="D937">
        <v>69.47</v>
      </c>
      <c r="E937">
        <v>5</v>
      </c>
      <c r="F937">
        <v>8.3699999999999992</v>
      </c>
      <c r="G937">
        <v>39.409999999999997</v>
      </c>
      <c r="H937">
        <v>84.95</v>
      </c>
      <c r="I937">
        <v>12</v>
      </c>
      <c r="J937">
        <v>1</v>
      </c>
      <c r="K937">
        <f>(StudentData[[#This Row],[Midterm_Grade]]*40%)+(StudentData[[#This Row],[Final_Grade]]*60%)</f>
        <v>66.733999999999995</v>
      </c>
      <c r="L937">
        <f>StudentData[[#This Row],[Attendance_Percentage]]*40%+StudentData[[#This Row],[Assignments_Completed]]*2+StudentData[[#This Row],[Class_Participation]]*2+StudentData[[#This Row],[Projects_Submitted]]*4</f>
        <v>58.527999999999992</v>
      </c>
      <c r="M937">
        <f>StudentData[[#This Row],[Academic_Score]]*60%+StudentData[[#This Row],[Engagement_Score]]*30%+MIN(StudentData[[#This Row],[Study_Hours_per_Week]],20)/20*100*10%</f>
        <v>63.598799999999997</v>
      </c>
      <c r="N937" s="3" t="str" cm="1">
        <f t="array" ref="N937">_xlfn.IFS(StudentData[[#This Row],[Success_Score]]&gt;=85,"Exceptional",StudentData[[#This Row],[Success_Score]]&gt;=70,"Strong",StudentData[[#This Row],[Success_Score]]&gt;=55,"Developing",TRUE,"Needs Improvement")</f>
        <v>Developing</v>
      </c>
      <c r="O937" s="3" t="str">
        <f t="shared" si="28"/>
        <v>Medium Risk</v>
      </c>
      <c r="P937" s="3" t="str">
        <f t="shared" si="29"/>
        <v>18-20</v>
      </c>
    </row>
    <row r="938" spans="1:16">
      <c r="A938" t="s">
        <v>972</v>
      </c>
      <c r="B938">
        <v>23</v>
      </c>
      <c r="C938" t="s">
        <v>5</v>
      </c>
      <c r="D938">
        <v>69.28</v>
      </c>
      <c r="E938">
        <v>10</v>
      </c>
      <c r="F938">
        <v>1.27</v>
      </c>
      <c r="G938">
        <v>85.1</v>
      </c>
      <c r="H938">
        <v>53.28</v>
      </c>
      <c r="I938">
        <v>8</v>
      </c>
      <c r="J938">
        <v>4</v>
      </c>
      <c r="K938">
        <f>(StudentData[[#This Row],[Midterm_Grade]]*40%)+(StudentData[[#This Row],[Final_Grade]]*60%)</f>
        <v>66.007999999999996</v>
      </c>
      <c r="L938">
        <f>StudentData[[#This Row],[Attendance_Percentage]]*40%+StudentData[[#This Row],[Assignments_Completed]]*2+StudentData[[#This Row],[Class_Participation]]*2+StudentData[[#This Row],[Projects_Submitted]]*4</f>
        <v>66.25200000000001</v>
      </c>
      <c r="M938">
        <f>StudentData[[#This Row],[Academic_Score]]*60%+StudentData[[#This Row],[Engagement_Score]]*30%+MIN(StudentData[[#This Row],[Study_Hours_per_Week]],20)/20*100*10%</f>
        <v>63.480400000000003</v>
      </c>
      <c r="N938" s="3" t="str" cm="1">
        <f t="array" ref="N938">_xlfn.IFS(StudentData[[#This Row],[Success_Score]]&gt;=85,"Exceptional",StudentData[[#This Row],[Success_Score]]&gt;=70,"Strong",StudentData[[#This Row],[Success_Score]]&gt;=55,"Developing",TRUE,"Needs Improvement")</f>
        <v>Developing</v>
      </c>
      <c r="O938" s="3" t="str">
        <f t="shared" si="28"/>
        <v>Medium Risk</v>
      </c>
      <c r="P938" s="3" t="str">
        <f t="shared" si="29"/>
        <v>21-23</v>
      </c>
    </row>
    <row r="939" spans="1:16">
      <c r="A939" t="s">
        <v>973</v>
      </c>
      <c r="B939">
        <v>22</v>
      </c>
      <c r="C939" t="s">
        <v>4</v>
      </c>
      <c r="D939">
        <v>67.02</v>
      </c>
      <c r="E939">
        <v>9</v>
      </c>
      <c r="F939">
        <v>1.26</v>
      </c>
      <c r="G939">
        <v>34.590000000000003</v>
      </c>
      <c r="H939">
        <v>47.13</v>
      </c>
      <c r="I939">
        <v>3</v>
      </c>
      <c r="J939">
        <v>2</v>
      </c>
      <c r="K939">
        <f>(StudentData[[#This Row],[Midterm_Grade]]*40%)+(StudentData[[#This Row],[Final_Grade]]*60%)</f>
        <v>42.114000000000004</v>
      </c>
      <c r="L939">
        <f>StudentData[[#This Row],[Attendance_Percentage]]*40%+StudentData[[#This Row],[Assignments_Completed]]*2+StudentData[[#This Row],[Class_Participation]]*2+StudentData[[#This Row],[Projects_Submitted]]*4</f>
        <v>55.328000000000003</v>
      </c>
      <c r="M939">
        <f>StudentData[[#This Row],[Academic_Score]]*60%+StudentData[[#This Row],[Engagement_Score]]*30%+MIN(StudentData[[#This Row],[Study_Hours_per_Week]],20)/20*100*10%</f>
        <v>43.366800000000005</v>
      </c>
      <c r="N939" s="3" t="str" cm="1">
        <f t="array" ref="N93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39" s="3" t="str">
        <f t="shared" si="28"/>
        <v>Medium Risk</v>
      </c>
      <c r="P939" s="3" t="str">
        <f t="shared" si="29"/>
        <v>21-23</v>
      </c>
    </row>
    <row r="940" spans="1:16">
      <c r="A940" t="s">
        <v>974</v>
      </c>
      <c r="B940">
        <v>23</v>
      </c>
      <c r="C940" t="s">
        <v>5</v>
      </c>
      <c r="D940">
        <v>77.069999999999993</v>
      </c>
      <c r="E940">
        <v>8</v>
      </c>
      <c r="F940">
        <v>8.1300000000000008</v>
      </c>
      <c r="G940">
        <v>3.52</v>
      </c>
      <c r="H940">
        <v>98.11</v>
      </c>
      <c r="I940">
        <v>11</v>
      </c>
      <c r="J940">
        <v>1</v>
      </c>
      <c r="K940">
        <f>(StudentData[[#This Row],[Midterm_Grade]]*40%)+(StudentData[[#This Row],[Final_Grade]]*60%)</f>
        <v>60.274000000000001</v>
      </c>
      <c r="L940">
        <f>StudentData[[#This Row],[Attendance_Percentage]]*40%+StudentData[[#This Row],[Assignments_Completed]]*2+StudentData[[#This Row],[Class_Participation]]*2+StudentData[[#This Row],[Projects_Submitted]]*4</f>
        <v>67.088000000000008</v>
      </c>
      <c r="M940">
        <f>StudentData[[#This Row],[Academic_Score]]*60%+StudentData[[#This Row],[Engagement_Score]]*30%+MIN(StudentData[[#This Row],[Study_Hours_per_Week]],20)/20*100*10%</f>
        <v>61.790800000000004</v>
      </c>
      <c r="N940" s="3" t="str" cm="1">
        <f t="array" ref="N940">_xlfn.IFS(StudentData[[#This Row],[Success_Score]]&gt;=85,"Exceptional",StudentData[[#This Row],[Success_Score]]&gt;=70,"Strong",StudentData[[#This Row],[Success_Score]]&gt;=55,"Developing",TRUE,"Needs Improvement")</f>
        <v>Developing</v>
      </c>
      <c r="O940" s="3" t="str">
        <f t="shared" si="28"/>
        <v>Low Risk</v>
      </c>
      <c r="P940" s="3" t="str">
        <f t="shared" si="29"/>
        <v>21-23</v>
      </c>
    </row>
    <row r="941" spans="1:16">
      <c r="A941" t="s">
        <v>975</v>
      </c>
      <c r="B941">
        <v>19</v>
      </c>
      <c r="C941" t="s">
        <v>4</v>
      </c>
      <c r="D941">
        <v>57.71</v>
      </c>
      <c r="E941">
        <v>3</v>
      </c>
      <c r="F941">
        <v>9.24</v>
      </c>
      <c r="G941">
        <v>74.62</v>
      </c>
      <c r="H941">
        <v>74.040000000000006</v>
      </c>
      <c r="I941">
        <v>8</v>
      </c>
      <c r="J941">
        <v>1</v>
      </c>
      <c r="K941">
        <f>(StudentData[[#This Row],[Midterm_Grade]]*40%)+(StudentData[[#This Row],[Final_Grade]]*60%)</f>
        <v>74.272000000000006</v>
      </c>
      <c r="L941">
        <f>StudentData[[#This Row],[Attendance_Percentage]]*40%+StudentData[[#This Row],[Assignments_Completed]]*2+StudentData[[#This Row],[Class_Participation]]*2+StudentData[[#This Row],[Projects_Submitted]]*4</f>
        <v>51.564000000000007</v>
      </c>
      <c r="M941">
        <f>StudentData[[#This Row],[Academic_Score]]*60%+StudentData[[#This Row],[Engagement_Score]]*30%+MIN(StudentData[[#This Row],[Study_Hours_per_Week]],20)/20*100*10%</f>
        <v>64.032399999999996</v>
      </c>
      <c r="N941" s="3" t="str" cm="1">
        <f t="array" ref="N941">_xlfn.IFS(StudentData[[#This Row],[Success_Score]]&gt;=85,"Exceptional",StudentData[[#This Row],[Success_Score]]&gt;=70,"Strong",StudentData[[#This Row],[Success_Score]]&gt;=55,"Developing",TRUE,"Needs Improvement")</f>
        <v>Developing</v>
      </c>
      <c r="O941" s="3" t="str">
        <f t="shared" si="28"/>
        <v>Medium Risk</v>
      </c>
      <c r="P941" s="3" t="str">
        <f t="shared" si="29"/>
        <v>18-20</v>
      </c>
    </row>
    <row r="942" spans="1:16">
      <c r="A942" t="s">
        <v>976</v>
      </c>
      <c r="B942">
        <v>21</v>
      </c>
      <c r="C942" t="s">
        <v>6</v>
      </c>
      <c r="D942">
        <v>77.69</v>
      </c>
      <c r="E942">
        <v>5</v>
      </c>
      <c r="F942">
        <v>4.6100000000000003</v>
      </c>
      <c r="G942">
        <v>80.2</v>
      </c>
      <c r="H942">
        <v>11.8</v>
      </c>
      <c r="I942">
        <v>12</v>
      </c>
      <c r="J942">
        <v>4</v>
      </c>
      <c r="K942">
        <f>(StudentData[[#This Row],[Midterm_Grade]]*40%)+(StudentData[[#This Row],[Final_Grade]]*60%)</f>
        <v>39.160000000000004</v>
      </c>
      <c r="L942">
        <f>StudentData[[#This Row],[Attendance_Percentage]]*40%+StudentData[[#This Row],[Assignments_Completed]]*2+StudentData[[#This Row],[Class_Participation]]*2+StudentData[[#This Row],[Projects_Submitted]]*4</f>
        <v>66.295999999999992</v>
      </c>
      <c r="M942">
        <f>StudentData[[#This Row],[Academic_Score]]*60%+StudentData[[#This Row],[Engagement_Score]]*30%+MIN(StudentData[[#This Row],[Study_Hours_per_Week]],20)/20*100*10%</f>
        <v>49.384799999999998</v>
      </c>
      <c r="N942" s="3" t="str" cm="1">
        <f t="array" ref="N94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42" s="3" t="str">
        <f t="shared" si="28"/>
        <v>Medium Risk</v>
      </c>
      <c r="P942" s="3" t="str">
        <f t="shared" si="29"/>
        <v>21-23</v>
      </c>
    </row>
    <row r="943" spans="1:16">
      <c r="A943" t="s">
        <v>977</v>
      </c>
      <c r="B943">
        <v>22</v>
      </c>
      <c r="C943" t="s">
        <v>5</v>
      </c>
      <c r="D943">
        <v>77.09</v>
      </c>
      <c r="E943">
        <v>6</v>
      </c>
      <c r="F943">
        <v>4.99</v>
      </c>
      <c r="G943">
        <v>16.059999999999999</v>
      </c>
      <c r="H943">
        <v>75.650000000000006</v>
      </c>
      <c r="I943">
        <v>15</v>
      </c>
      <c r="J943">
        <v>0</v>
      </c>
      <c r="K943">
        <f>(StudentData[[#This Row],[Midterm_Grade]]*40%)+(StudentData[[#This Row],[Final_Grade]]*60%)</f>
        <v>51.814</v>
      </c>
      <c r="L943">
        <f>StudentData[[#This Row],[Attendance_Percentage]]*40%+StudentData[[#This Row],[Assignments_Completed]]*2+StudentData[[#This Row],[Class_Participation]]*2+StudentData[[#This Row],[Projects_Submitted]]*4</f>
        <v>52.816000000000003</v>
      </c>
      <c r="M943">
        <f>StudentData[[#This Row],[Academic_Score]]*60%+StudentData[[#This Row],[Engagement_Score]]*30%+MIN(StudentData[[#This Row],[Study_Hours_per_Week]],20)/20*100*10%</f>
        <v>54.433199999999999</v>
      </c>
      <c r="N943" s="3" t="str" cm="1">
        <f t="array" ref="N94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43" s="3" t="str">
        <f t="shared" si="28"/>
        <v>Medium Risk</v>
      </c>
      <c r="P943" s="3" t="str">
        <f t="shared" si="29"/>
        <v>21-23</v>
      </c>
    </row>
    <row r="944" spans="1:16">
      <c r="A944" t="s">
        <v>978</v>
      </c>
      <c r="B944">
        <v>25</v>
      </c>
      <c r="C944" t="s">
        <v>4</v>
      </c>
      <c r="D944">
        <v>88.1</v>
      </c>
      <c r="E944">
        <v>10</v>
      </c>
      <c r="F944">
        <v>3.18</v>
      </c>
      <c r="G944">
        <v>53.73</v>
      </c>
      <c r="H944">
        <v>9.52</v>
      </c>
      <c r="I944">
        <v>5</v>
      </c>
      <c r="J944">
        <v>1</v>
      </c>
      <c r="K944">
        <f>(StudentData[[#This Row],[Midterm_Grade]]*40%)+(StudentData[[#This Row],[Final_Grade]]*60%)</f>
        <v>27.204000000000001</v>
      </c>
      <c r="L944">
        <f>StudentData[[#This Row],[Attendance_Percentage]]*40%+StudentData[[#This Row],[Assignments_Completed]]*2+StudentData[[#This Row],[Class_Participation]]*2+StudentData[[#This Row],[Projects_Submitted]]*4</f>
        <v>65.599999999999994</v>
      </c>
      <c r="M944">
        <f>StudentData[[#This Row],[Academic_Score]]*60%+StudentData[[#This Row],[Engagement_Score]]*30%+MIN(StudentData[[#This Row],[Study_Hours_per_Week]],20)/20*100*10%</f>
        <v>38.502399999999994</v>
      </c>
      <c r="N944" s="3" t="str" cm="1">
        <f t="array" ref="N94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44" s="3" t="str">
        <f t="shared" si="28"/>
        <v>Medium Risk</v>
      </c>
      <c r="P944" s="3" t="str">
        <f t="shared" si="29"/>
        <v>24-25</v>
      </c>
    </row>
    <row r="945" spans="1:16">
      <c r="A945" t="s">
        <v>979</v>
      </c>
      <c r="B945">
        <v>22</v>
      </c>
      <c r="C945" t="s">
        <v>5</v>
      </c>
      <c r="D945">
        <v>91.68</v>
      </c>
      <c r="E945">
        <v>5</v>
      </c>
      <c r="F945">
        <v>8.94</v>
      </c>
      <c r="G945">
        <v>19.2</v>
      </c>
      <c r="H945">
        <v>2.75</v>
      </c>
      <c r="I945">
        <v>9</v>
      </c>
      <c r="J945">
        <v>4</v>
      </c>
      <c r="K945">
        <f>(StudentData[[#This Row],[Midterm_Grade]]*40%)+(StudentData[[#This Row],[Final_Grade]]*60%)</f>
        <v>9.33</v>
      </c>
      <c r="L945">
        <f>StudentData[[#This Row],[Attendance_Percentage]]*40%+StudentData[[#This Row],[Assignments_Completed]]*2+StudentData[[#This Row],[Class_Participation]]*2+StudentData[[#This Row],[Projects_Submitted]]*4</f>
        <v>80.552000000000007</v>
      </c>
      <c r="M945">
        <f>StudentData[[#This Row],[Academic_Score]]*60%+StudentData[[#This Row],[Engagement_Score]]*30%+MIN(StudentData[[#This Row],[Study_Hours_per_Week]],20)/20*100*10%</f>
        <v>34.263599999999997</v>
      </c>
      <c r="N945" s="3" t="str" cm="1">
        <f t="array" ref="N94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45" s="3" t="str">
        <f t="shared" si="28"/>
        <v>Medium Risk</v>
      </c>
      <c r="P945" s="3" t="str">
        <f t="shared" si="29"/>
        <v>21-23</v>
      </c>
    </row>
    <row r="946" spans="1:16">
      <c r="A946" t="s">
        <v>980</v>
      </c>
      <c r="B946">
        <v>22</v>
      </c>
      <c r="C946" t="s">
        <v>4</v>
      </c>
      <c r="D946">
        <v>72.02</v>
      </c>
      <c r="E946">
        <v>7</v>
      </c>
      <c r="F946">
        <v>6.45</v>
      </c>
      <c r="G946">
        <v>71.92</v>
      </c>
      <c r="H946">
        <v>40.36</v>
      </c>
      <c r="I946">
        <v>12</v>
      </c>
      <c r="J946">
        <v>0</v>
      </c>
      <c r="K946">
        <f>(StudentData[[#This Row],[Midterm_Grade]]*40%)+(StudentData[[#This Row],[Final_Grade]]*60%)</f>
        <v>52.983999999999995</v>
      </c>
      <c r="L946">
        <f>StudentData[[#This Row],[Attendance_Percentage]]*40%+StudentData[[#This Row],[Assignments_Completed]]*2+StudentData[[#This Row],[Class_Participation]]*2+StudentData[[#This Row],[Projects_Submitted]]*4</f>
        <v>55.707999999999998</v>
      </c>
      <c r="M946">
        <f>StudentData[[#This Row],[Academic_Score]]*60%+StudentData[[#This Row],[Engagement_Score]]*30%+MIN(StudentData[[#This Row],[Study_Hours_per_Week]],20)/20*100*10%</f>
        <v>54.502799999999993</v>
      </c>
      <c r="N946" s="3" t="str" cm="1">
        <f t="array" ref="N94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46" s="3" t="str">
        <f t="shared" si="28"/>
        <v>Medium Risk</v>
      </c>
      <c r="P946" s="3" t="str">
        <f t="shared" si="29"/>
        <v>21-23</v>
      </c>
    </row>
    <row r="947" spans="1:16">
      <c r="A947" t="s">
        <v>981</v>
      </c>
      <c r="B947">
        <v>24</v>
      </c>
      <c r="C947" t="s">
        <v>5</v>
      </c>
      <c r="D947">
        <v>65.12</v>
      </c>
      <c r="E947">
        <v>3</v>
      </c>
      <c r="F947">
        <v>2.88</v>
      </c>
      <c r="G947">
        <v>27.16</v>
      </c>
      <c r="H947">
        <v>99.36</v>
      </c>
      <c r="I947">
        <v>6</v>
      </c>
      <c r="J947">
        <v>5</v>
      </c>
      <c r="K947">
        <f>(StudentData[[#This Row],[Midterm_Grade]]*40%)+(StudentData[[#This Row],[Final_Grade]]*60%)</f>
        <v>70.48</v>
      </c>
      <c r="L947">
        <f>StudentData[[#This Row],[Attendance_Percentage]]*40%+StudentData[[#This Row],[Assignments_Completed]]*2+StudentData[[#This Row],[Class_Participation]]*2+StudentData[[#This Row],[Projects_Submitted]]*4</f>
        <v>57.808</v>
      </c>
      <c r="M947">
        <f>StudentData[[#This Row],[Academic_Score]]*60%+StudentData[[#This Row],[Engagement_Score]]*30%+MIN(StudentData[[#This Row],[Study_Hours_per_Week]],20)/20*100*10%</f>
        <v>62.630400000000002</v>
      </c>
      <c r="N947" s="3" t="str" cm="1">
        <f t="array" ref="N947">_xlfn.IFS(StudentData[[#This Row],[Success_Score]]&gt;=85,"Exceptional",StudentData[[#This Row],[Success_Score]]&gt;=70,"Strong",StudentData[[#This Row],[Success_Score]]&gt;=55,"Developing",TRUE,"Needs Improvement")</f>
        <v>Developing</v>
      </c>
      <c r="O947" s="3" t="str">
        <f t="shared" si="28"/>
        <v>Medium Risk</v>
      </c>
      <c r="P947" s="3" t="str">
        <f t="shared" si="29"/>
        <v>24-25</v>
      </c>
    </row>
    <row r="948" spans="1:16">
      <c r="A948" t="s">
        <v>982</v>
      </c>
      <c r="B948">
        <v>22</v>
      </c>
      <c r="C948" t="s">
        <v>4</v>
      </c>
      <c r="D948">
        <v>62.97</v>
      </c>
      <c r="E948">
        <v>0</v>
      </c>
      <c r="F948">
        <v>2.99</v>
      </c>
      <c r="G948">
        <v>31.62</v>
      </c>
      <c r="H948">
        <v>17.489999999999998</v>
      </c>
      <c r="I948">
        <v>18</v>
      </c>
      <c r="J948">
        <v>0</v>
      </c>
      <c r="K948">
        <f>(StudentData[[#This Row],[Midterm_Grade]]*40%)+(StudentData[[#This Row],[Final_Grade]]*60%)</f>
        <v>23.141999999999999</v>
      </c>
      <c r="L948">
        <f>StudentData[[#This Row],[Attendance_Percentage]]*40%+StudentData[[#This Row],[Assignments_Completed]]*2+StudentData[[#This Row],[Class_Participation]]*2+StudentData[[#This Row],[Projects_Submitted]]*4</f>
        <v>31.168000000000003</v>
      </c>
      <c r="M948">
        <f>StudentData[[#This Row],[Academic_Score]]*60%+StudentData[[#This Row],[Engagement_Score]]*30%+MIN(StudentData[[#This Row],[Study_Hours_per_Week]],20)/20*100*10%</f>
        <v>32.235599999999998</v>
      </c>
      <c r="N948" s="3" t="str" cm="1">
        <f t="array" ref="N94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48" s="3" t="str">
        <f t="shared" si="28"/>
        <v>Medium Risk</v>
      </c>
      <c r="P948" s="3" t="str">
        <f t="shared" si="29"/>
        <v>21-23</v>
      </c>
    </row>
    <row r="949" spans="1:16">
      <c r="A949" t="s">
        <v>983</v>
      </c>
      <c r="B949">
        <v>25</v>
      </c>
      <c r="C949" t="s">
        <v>4</v>
      </c>
      <c r="D949">
        <v>59.73</v>
      </c>
      <c r="E949">
        <v>6</v>
      </c>
      <c r="F949">
        <v>8.91</v>
      </c>
      <c r="G949">
        <v>84.5</v>
      </c>
      <c r="H949">
        <v>67.260000000000005</v>
      </c>
      <c r="I949">
        <v>18</v>
      </c>
      <c r="J949">
        <v>5</v>
      </c>
      <c r="K949">
        <f>(StudentData[[#This Row],[Midterm_Grade]]*40%)+(StudentData[[#This Row],[Final_Grade]]*60%)</f>
        <v>74.156000000000006</v>
      </c>
      <c r="L949">
        <f>StudentData[[#This Row],[Attendance_Percentage]]*40%+StudentData[[#This Row],[Assignments_Completed]]*2+StudentData[[#This Row],[Class_Participation]]*2+StudentData[[#This Row],[Projects_Submitted]]*4</f>
        <v>73.711999999999989</v>
      </c>
      <c r="M949">
        <f>StudentData[[#This Row],[Academic_Score]]*60%+StudentData[[#This Row],[Engagement_Score]]*30%+MIN(StudentData[[#This Row],[Study_Hours_per_Week]],20)/20*100*10%</f>
        <v>75.607199999999992</v>
      </c>
      <c r="N949" s="3" t="str" cm="1">
        <f t="array" ref="N949">_xlfn.IFS(StudentData[[#This Row],[Success_Score]]&gt;=85,"Exceptional",StudentData[[#This Row],[Success_Score]]&gt;=70,"Strong",StudentData[[#This Row],[Success_Score]]&gt;=55,"Developing",TRUE,"Needs Improvement")</f>
        <v>Strong</v>
      </c>
      <c r="O949" s="3" t="str">
        <f t="shared" si="28"/>
        <v>Medium Risk</v>
      </c>
      <c r="P949" s="3" t="str">
        <f t="shared" si="29"/>
        <v>24-25</v>
      </c>
    </row>
    <row r="950" spans="1:16">
      <c r="A950" t="s">
        <v>984</v>
      </c>
      <c r="B950">
        <v>23</v>
      </c>
      <c r="C950" t="s">
        <v>6</v>
      </c>
      <c r="D950">
        <v>52.88</v>
      </c>
      <c r="E950">
        <v>2</v>
      </c>
      <c r="F950">
        <v>0.14000000000000001</v>
      </c>
      <c r="G950">
        <v>47.63</v>
      </c>
      <c r="H950">
        <v>17.34</v>
      </c>
      <c r="I950">
        <v>16</v>
      </c>
      <c r="J950">
        <v>2</v>
      </c>
      <c r="K950">
        <f>(StudentData[[#This Row],[Midterm_Grade]]*40%)+(StudentData[[#This Row],[Final_Grade]]*60%)</f>
        <v>29.456000000000003</v>
      </c>
      <c r="L950">
        <f>StudentData[[#This Row],[Attendance_Percentage]]*40%+StudentData[[#This Row],[Assignments_Completed]]*2+StudentData[[#This Row],[Class_Participation]]*2+StudentData[[#This Row],[Projects_Submitted]]*4</f>
        <v>33.432000000000002</v>
      </c>
      <c r="M950">
        <f>StudentData[[#This Row],[Academic_Score]]*60%+StudentData[[#This Row],[Engagement_Score]]*30%+MIN(StudentData[[#This Row],[Study_Hours_per_Week]],20)/20*100*10%</f>
        <v>35.703200000000002</v>
      </c>
      <c r="N950" s="3" t="str" cm="1">
        <f t="array" ref="N95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50" s="3" t="str">
        <f t="shared" si="28"/>
        <v>High Risk</v>
      </c>
      <c r="P950" s="3" t="str">
        <f t="shared" si="29"/>
        <v>21-23</v>
      </c>
    </row>
    <row r="951" spans="1:16">
      <c r="A951" t="s">
        <v>985</v>
      </c>
      <c r="B951">
        <v>22</v>
      </c>
      <c r="C951" t="s">
        <v>4</v>
      </c>
      <c r="D951">
        <v>67.12</v>
      </c>
      <c r="E951">
        <v>5</v>
      </c>
      <c r="F951">
        <v>3.23</v>
      </c>
      <c r="G951">
        <v>66.98</v>
      </c>
      <c r="H951">
        <v>72.48</v>
      </c>
      <c r="I951">
        <v>12</v>
      </c>
      <c r="J951">
        <v>4</v>
      </c>
      <c r="K951">
        <f>(StudentData[[#This Row],[Midterm_Grade]]*40%)+(StudentData[[#This Row],[Final_Grade]]*60%)</f>
        <v>70.28</v>
      </c>
      <c r="L951">
        <f>StudentData[[#This Row],[Attendance_Percentage]]*40%+StudentData[[#This Row],[Assignments_Completed]]*2+StudentData[[#This Row],[Class_Participation]]*2+StudentData[[#This Row],[Projects_Submitted]]*4</f>
        <v>59.308</v>
      </c>
      <c r="M951">
        <f>StudentData[[#This Row],[Academic_Score]]*60%+StudentData[[#This Row],[Engagement_Score]]*30%+MIN(StudentData[[#This Row],[Study_Hours_per_Week]],20)/20*100*10%</f>
        <v>65.960399999999993</v>
      </c>
      <c r="N951" s="3" t="str" cm="1">
        <f t="array" ref="N951">_xlfn.IFS(StudentData[[#This Row],[Success_Score]]&gt;=85,"Exceptional",StudentData[[#This Row],[Success_Score]]&gt;=70,"Strong",StudentData[[#This Row],[Success_Score]]&gt;=55,"Developing",TRUE,"Needs Improvement")</f>
        <v>Developing</v>
      </c>
      <c r="O951" s="3" t="str">
        <f t="shared" si="28"/>
        <v>Medium Risk</v>
      </c>
      <c r="P951" s="3" t="str">
        <f t="shared" si="29"/>
        <v>21-23</v>
      </c>
    </row>
    <row r="952" spans="1:16">
      <c r="A952" t="s">
        <v>986</v>
      </c>
      <c r="B952">
        <v>20</v>
      </c>
      <c r="C952" t="s">
        <v>4</v>
      </c>
      <c r="D952">
        <v>63.51</v>
      </c>
      <c r="E952">
        <v>1</v>
      </c>
      <c r="F952">
        <v>5.54</v>
      </c>
      <c r="G952">
        <v>40.24</v>
      </c>
      <c r="H952">
        <v>50.54</v>
      </c>
      <c r="I952">
        <v>12</v>
      </c>
      <c r="J952">
        <v>0</v>
      </c>
      <c r="K952">
        <f>(StudentData[[#This Row],[Midterm_Grade]]*40%)+(StudentData[[#This Row],[Final_Grade]]*60%)</f>
        <v>46.42</v>
      </c>
      <c r="L952">
        <f>StudentData[[#This Row],[Attendance_Percentage]]*40%+StudentData[[#This Row],[Assignments_Completed]]*2+StudentData[[#This Row],[Class_Participation]]*2+StudentData[[#This Row],[Projects_Submitted]]*4</f>
        <v>38.484000000000002</v>
      </c>
      <c r="M952">
        <f>StudentData[[#This Row],[Academic_Score]]*60%+StudentData[[#This Row],[Engagement_Score]]*30%+MIN(StudentData[[#This Row],[Study_Hours_per_Week]],20)/20*100*10%</f>
        <v>45.397199999999998</v>
      </c>
      <c r="N952" s="3" t="str" cm="1">
        <f t="array" ref="N95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52" s="3" t="str">
        <f t="shared" si="28"/>
        <v>Medium Risk</v>
      </c>
      <c r="P952" s="3" t="str">
        <f t="shared" si="29"/>
        <v>18-20</v>
      </c>
    </row>
    <row r="953" spans="1:16">
      <c r="A953" t="s">
        <v>987</v>
      </c>
      <c r="B953">
        <v>21</v>
      </c>
      <c r="C953" t="s">
        <v>4</v>
      </c>
      <c r="D953">
        <v>98.32</v>
      </c>
      <c r="E953">
        <v>8</v>
      </c>
      <c r="F953">
        <v>1.48</v>
      </c>
      <c r="G953">
        <v>29.8</v>
      </c>
      <c r="H953">
        <v>68</v>
      </c>
      <c r="I953">
        <v>1</v>
      </c>
      <c r="J953">
        <v>5</v>
      </c>
      <c r="K953">
        <f>(StudentData[[#This Row],[Midterm_Grade]]*40%)+(StudentData[[#This Row],[Final_Grade]]*60%)</f>
        <v>52.72</v>
      </c>
      <c r="L953">
        <f>StudentData[[#This Row],[Attendance_Percentage]]*40%+StudentData[[#This Row],[Assignments_Completed]]*2+StudentData[[#This Row],[Class_Participation]]*2+StudentData[[#This Row],[Projects_Submitted]]*4</f>
        <v>78.288000000000011</v>
      </c>
      <c r="M953">
        <f>StudentData[[#This Row],[Academic_Score]]*60%+StudentData[[#This Row],[Engagement_Score]]*30%+MIN(StudentData[[#This Row],[Study_Hours_per_Week]],20)/20*100*10%</f>
        <v>55.618400000000001</v>
      </c>
      <c r="N953" s="3" t="str" cm="1">
        <f t="array" ref="N953">_xlfn.IFS(StudentData[[#This Row],[Success_Score]]&gt;=85,"Exceptional",StudentData[[#This Row],[Success_Score]]&gt;=70,"Strong",StudentData[[#This Row],[Success_Score]]&gt;=55,"Developing",TRUE,"Needs Improvement")</f>
        <v>Developing</v>
      </c>
      <c r="O953" s="3" t="str">
        <f t="shared" si="28"/>
        <v>Medium Risk</v>
      </c>
      <c r="P953" s="3" t="str">
        <f t="shared" si="29"/>
        <v>21-23</v>
      </c>
    </row>
    <row r="954" spans="1:16">
      <c r="A954" t="s">
        <v>988</v>
      </c>
      <c r="B954">
        <v>22</v>
      </c>
      <c r="C954" t="s">
        <v>4</v>
      </c>
      <c r="D954">
        <v>77.89</v>
      </c>
      <c r="E954">
        <v>0</v>
      </c>
      <c r="F954">
        <v>0.92</v>
      </c>
      <c r="G954">
        <v>62.55</v>
      </c>
      <c r="H954">
        <v>20.29</v>
      </c>
      <c r="I954">
        <v>9</v>
      </c>
      <c r="J954">
        <v>5</v>
      </c>
      <c r="K954">
        <f>(StudentData[[#This Row],[Midterm_Grade]]*40%)+(StudentData[[#This Row],[Final_Grade]]*60%)</f>
        <v>37.194000000000003</v>
      </c>
      <c r="L954">
        <f>StudentData[[#This Row],[Attendance_Percentage]]*40%+StudentData[[#This Row],[Assignments_Completed]]*2+StudentData[[#This Row],[Class_Participation]]*2+StudentData[[#This Row],[Projects_Submitted]]*4</f>
        <v>52.996000000000002</v>
      </c>
      <c r="M954">
        <f>StudentData[[#This Row],[Academic_Score]]*60%+StudentData[[#This Row],[Engagement_Score]]*30%+MIN(StudentData[[#This Row],[Study_Hours_per_Week]],20)/20*100*10%</f>
        <v>42.715200000000003</v>
      </c>
      <c r="N954" s="3" t="str" cm="1">
        <f t="array" ref="N95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54" s="3" t="str">
        <f t="shared" si="28"/>
        <v>Medium Risk</v>
      </c>
      <c r="P954" s="3" t="str">
        <f t="shared" si="29"/>
        <v>21-23</v>
      </c>
    </row>
    <row r="955" spans="1:16">
      <c r="A955" t="s">
        <v>989</v>
      </c>
      <c r="B955">
        <v>21</v>
      </c>
      <c r="C955" t="s">
        <v>4</v>
      </c>
      <c r="D955">
        <v>67.36</v>
      </c>
      <c r="E955">
        <v>5</v>
      </c>
      <c r="F955">
        <v>8.15</v>
      </c>
      <c r="G955">
        <v>15.49</v>
      </c>
      <c r="H955">
        <v>74.56</v>
      </c>
      <c r="I955">
        <v>12</v>
      </c>
      <c r="J955">
        <v>2</v>
      </c>
      <c r="K955">
        <f>(StudentData[[#This Row],[Midterm_Grade]]*40%)+(StudentData[[#This Row],[Final_Grade]]*60%)</f>
        <v>50.931999999999995</v>
      </c>
      <c r="L955">
        <f>StudentData[[#This Row],[Attendance_Percentage]]*40%+StudentData[[#This Row],[Assignments_Completed]]*2+StudentData[[#This Row],[Class_Participation]]*2+StudentData[[#This Row],[Projects_Submitted]]*4</f>
        <v>61.244</v>
      </c>
      <c r="M955">
        <f>StudentData[[#This Row],[Academic_Score]]*60%+StudentData[[#This Row],[Engagement_Score]]*30%+MIN(StudentData[[#This Row],[Study_Hours_per_Week]],20)/20*100*10%</f>
        <v>54.932400000000001</v>
      </c>
      <c r="N955" s="3" t="str" cm="1">
        <f t="array" ref="N95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55" s="3" t="str">
        <f t="shared" si="28"/>
        <v>Medium Risk</v>
      </c>
      <c r="P955" s="3" t="str">
        <f t="shared" si="29"/>
        <v>21-23</v>
      </c>
    </row>
    <row r="956" spans="1:16">
      <c r="A956" t="s">
        <v>990</v>
      </c>
      <c r="B956">
        <v>20</v>
      </c>
      <c r="C956" t="s">
        <v>5</v>
      </c>
      <c r="D956">
        <v>79.02</v>
      </c>
      <c r="E956">
        <v>5</v>
      </c>
      <c r="F956">
        <v>8.94</v>
      </c>
      <c r="G956">
        <v>37.299999999999997</v>
      </c>
      <c r="H956">
        <v>99.56</v>
      </c>
      <c r="I956">
        <v>8</v>
      </c>
      <c r="J956">
        <v>3</v>
      </c>
      <c r="K956">
        <f>(StudentData[[#This Row],[Midterm_Grade]]*40%)+(StudentData[[#This Row],[Final_Grade]]*60%)</f>
        <v>74.655999999999992</v>
      </c>
      <c r="L956">
        <f>StudentData[[#This Row],[Attendance_Percentage]]*40%+StudentData[[#This Row],[Assignments_Completed]]*2+StudentData[[#This Row],[Class_Participation]]*2+StudentData[[#This Row],[Projects_Submitted]]*4</f>
        <v>71.488</v>
      </c>
      <c r="M956">
        <f>StudentData[[#This Row],[Academic_Score]]*60%+StudentData[[#This Row],[Engagement_Score]]*30%+MIN(StudentData[[#This Row],[Study_Hours_per_Week]],20)/20*100*10%</f>
        <v>70.239999999999995</v>
      </c>
      <c r="N956" s="3" t="str" cm="1">
        <f t="array" ref="N956">_xlfn.IFS(StudentData[[#This Row],[Success_Score]]&gt;=85,"Exceptional",StudentData[[#This Row],[Success_Score]]&gt;=70,"Strong",StudentData[[#This Row],[Success_Score]]&gt;=55,"Developing",TRUE,"Needs Improvement")</f>
        <v>Strong</v>
      </c>
      <c r="O956" s="3" t="str">
        <f t="shared" si="28"/>
        <v>Low Risk</v>
      </c>
      <c r="P956" s="3" t="str">
        <f t="shared" si="29"/>
        <v>18-20</v>
      </c>
    </row>
    <row r="957" spans="1:16">
      <c r="A957" t="s">
        <v>991</v>
      </c>
      <c r="B957">
        <v>20</v>
      </c>
      <c r="C957" t="s">
        <v>6</v>
      </c>
      <c r="D957">
        <v>56.96</v>
      </c>
      <c r="E957">
        <v>4</v>
      </c>
      <c r="F957">
        <v>8.24</v>
      </c>
      <c r="G957">
        <v>20.9</v>
      </c>
      <c r="H957">
        <v>66.569999999999993</v>
      </c>
      <c r="I957">
        <v>0</v>
      </c>
      <c r="J957">
        <v>4</v>
      </c>
      <c r="K957">
        <f>(StudentData[[#This Row],[Midterm_Grade]]*40%)+(StudentData[[#This Row],[Final_Grade]]*60%)</f>
        <v>48.301999999999992</v>
      </c>
      <c r="L957">
        <f>StudentData[[#This Row],[Attendance_Percentage]]*40%+StudentData[[#This Row],[Assignments_Completed]]*2+StudentData[[#This Row],[Class_Participation]]*2+StudentData[[#This Row],[Projects_Submitted]]*4</f>
        <v>63.264000000000003</v>
      </c>
      <c r="M957">
        <f>StudentData[[#This Row],[Academic_Score]]*60%+StudentData[[#This Row],[Engagement_Score]]*30%+MIN(StudentData[[#This Row],[Study_Hours_per_Week]],20)/20*100*10%</f>
        <v>47.960399999999993</v>
      </c>
      <c r="N957" s="3" t="str" cm="1">
        <f t="array" ref="N95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57" s="3" t="str">
        <f t="shared" si="28"/>
        <v>High Risk</v>
      </c>
      <c r="P957" s="3" t="str">
        <f t="shared" si="29"/>
        <v>18-20</v>
      </c>
    </row>
    <row r="958" spans="1:16">
      <c r="A958" t="s">
        <v>992</v>
      </c>
      <c r="B958">
        <v>21</v>
      </c>
      <c r="C958" t="s">
        <v>4</v>
      </c>
      <c r="D958">
        <v>72.2</v>
      </c>
      <c r="E958">
        <v>4</v>
      </c>
      <c r="F958">
        <v>8.99</v>
      </c>
      <c r="G958">
        <v>69.58</v>
      </c>
      <c r="H958">
        <v>49.35</v>
      </c>
      <c r="I958">
        <v>13</v>
      </c>
      <c r="J958">
        <v>3</v>
      </c>
      <c r="K958">
        <f>(StudentData[[#This Row],[Midterm_Grade]]*40%)+(StudentData[[#This Row],[Final_Grade]]*60%)</f>
        <v>57.442</v>
      </c>
      <c r="L958">
        <f>StudentData[[#This Row],[Attendance_Percentage]]*40%+StudentData[[#This Row],[Assignments_Completed]]*2+StudentData[[#This Row],[Class_Participation]]*2+StudentData[[#This Row],[Projects_Submitted]]*4</f>
        <v>66.86</v>
      </c>
      <c r="M958">
        <f>StudentData[[#This Row],[Academic_Score]]*60%+StudentData[[#This Row],[Engagement_Score]]*30%+MIN(StudentData[[#This Row],[Study_Hours_per_Week]],20)/20*100*10%</f>
        <v>61.023199999999996</v>
      </c>
      <c r="N958" s="3" t="str" cm="1">
        <f t="array" ref="N958">_xlfn.IFS(StudentData[[#This Row],[Success_Score]]&gt;=85,"Exceptional",StudentData[[#This Row],[Success_Score]]&gt;=70,"Strong",StudentData[[#This Row],[Success_Score]]&gt;=55,"Developing",TRUE,"Needs Improvement")</f>
        <v>Developing</v>
      </c>
      <c r="O958" s="3" t="str">
        <f t="shared" si="28"/>
        <v>Medium Risk</v>
      </c>
      <c r="P958" s="3" t="str">
        <f t="shared" si="29"/>
        <v>21-23</v>
      </c>
    </row>
    <row r="959" spans="1:16">
      <c r="A959" t="s">
        <v>993</v>
      </c>
      <c r="B959">
        <v>18</v>
      </c>
      <c r="C959" t="s">
        <v>4</v>
      </c>
      <c r="D959">
        <v>81.31</v>
      </c>
      <c r="E959">
        <v>0</v>
      </c>
      <c r="F959">
        <v>5.53</v>
      </c>
      <c r="G959">
        <v>94.42</v>
      </c>
      <c r="H959">
        <v>92.32</v>
      </c>
      <c r="I959">
        <v>15</v>
      </c>
      <c r="J959">
        <v>0</v>
      </c>
      <c r="K959">
        <f>(StudentData[[#This Row],[Midterm_Grade]]*40%)+(StudentData[[#This Row],[Final_Grade]]*60%)</f>
        <v>93.16</v>
      </c>
      <c r="L959">
        <f>StudentData[[#This Row],[Attendance_Percentage]]*40%+StudentData[[#This Row],[Assignments_Completed]]*2+StudentData[[#This Row],[Class_Participation]]*2+StudentData[[#This Row],[Projects_Submitted]]*4</f>
        <v>43.584000000000003</v>
      </c>
      <c r="M959">
        <f>StudentData[[#This Row],[Academic_Score]]*60%+StudentData[[#This Row],[Engagement_Score]]*30%+MIN(StudentData[[#This Row],[Study_Hours_per_Week]],20)/20*100*10%</f>
        <v>76.471199999999996</v>
      </c>
      <c r="N959" s="3" t="str" cm="1">
        <f t="array" ref="N959">_xlfn.IFS(StudentData[[#This Row],[Success_Score]]&gt;=85,"Exceptional",StudentData[[#This Row],[Success_Score]]&gt;=70,"Strong",StudentData[[#This Row],[Success_Score]]&gt;=55,"Developing",TRUE,"Needs Improvement")</f>
        <v>Strong</v>
      </c>
      <c r="O959" s="3" t="str">
        <f t="shared" si="28"/>
        <v>Low Risk</v>
      </c>
      <c r="P959" s="3" t="str">
        <f t="shared" si="29"/>
        <v>18-20</v>
      </c>
    </row>
    <row r="960" spans="1:16">
      <c r="A960" t="s">
        <v>994</v>
      </c>
      <c r="B960">
        <v>19</v>
      </c>
      <c r="C960" t="s">
        <v>5</v>
      </c>
      <c r="D960">
        <v>74.44</v>
      </c>
      <c r="E960">
        <v>9</v>
      </c>
      <c r="F960">
        <v>8.1199999999999992</v>
      </c>
      <c r="G960">
        <v>99.55</v>
      </c>
      <c r="H960">
        <v>1.59</v>
      </c>
      <c r="I960">
        <v>19</v>
      </c>
      <c r="J960">
        <v>4</v>
      </c>
      <c r="K960">
        <f>(StudentData[[#This Row],[Midterm_Grade]]*40%)+(StudentData[[#This Row],[Final_Grade]]*60%)</f>
        <v>40.774000000000001</v>
      </c>
      <c r="L960">
        <f>StudentData[[#This Row],[Attendance_Percentage]]*40%+StudentData[[#This Row],[Assignments_Completed]]*2+StudentData[[#This Row],[Class_Participation]]*2+StudentData[[#This Row],[Projects_Submitted]]*4</f>
        <v>80.015999999999991</v>
      </c>
      <c r="M960">
        <f>StudentData[[#This Row],[Academic_Score]]*60%+StudentData[[#This Row],[Engagement_Score]]*30%+MIN(StudentData[[#This Row],[Study_Hours_per_Week]],20)/20*100*10%</f>
        <v>57.969200000000001</v>
      </c>
      <c r="N960" s="3" t="str" cm="1">
        <f t="array" ref="N960">_xlfn.IFS(StudentData[[#This Row],[Success_Score]]&gt;=85,"Exceptional",StudentData[[#This Row],[Success_Score]]&gt;=70,"Strong",StudentData[[#This Row],[Success_Score]]&gt;=55,"Developing",TRUE,"Needs Improvement")</f>
        <v>Developing</v>
      </c>
      <c r="O960" s="3" t="str">
        <f t="shared" si="28"/>
        <v>Medium Risk</v>
      </c>
      <c r="P960" s="3" t="str">
        <f t="shared" si="29"/>
        <v>18-20</v>
      </c>
    </row>
    <row r="961" spans="1:16">
      <c r="A961" t="s">
        <v>995</v>
      </c>
      <c r="B961">
        <v>24</v>
      </c>
      <c r="C961" t="s">
        <v>4</v>
      </c>
      <c r="D961">
        <v>70.09</v>
      </c>
      <c r="E961">
        <v>4</v>
      </c>
      <c r="F961">
        <v>3.84</v>
      </c>
      <c r="G961">
        <v>45.03</v>
      </c>
      <c r="H961">
        <v>72.989999999999995</v>
      </c>
      <c r="I961">
        <v>14</v>
      </c>
      <c r="J961">
        <v>2</v>
      </c>
      <c r="K961">
        <f>(StudentData[[#This Row],[Midterm_Grade]]*40%)+(StudentData[[#This Row],[Final_Grade]]*60%)</f>
        <v>61.805999999999997</v>
      </c>
      <c r="L961">
        <f>StudentData[[#This Row],[Attendance_Percentage]]*40%+StudentData[[#This Row],[Assignments_Completed]]*2+StudentData[[#This Row],[Class_Participation]]*2+StudentData[[#This Row],[Projects_Submitted]]*4</f>
        <v>51.716000000000001</v>
      </c>
      <c r="M961">
        <f>StudentData[[#This Row],[Academic_Score]]*60%+StudentData[[#This Row],[Engagement_Score]]*30%+MIN(StudentData[[#This Row],[Study_Hours_per_Week]],20)/20*100*10%</f>
        <v>59.598399999999998</v>
      </c>
      <c r="N961" s="3" t="str" cm="1">
        <f t="array" ref="N961">_xlfn.IFS(StudentData[[#This Row],[Success_Score]]&gt;=85,"Exceptional",StudentData[[#This Row],[Success_Score]]&gt;=70,"Strong",StudentData[[#This Row],[Success_Score]]&gt;=55,"Developing",TRUE,"Needs Improvement")</f>
        <v>Developing</v>
      </c>
      <c r="O961" s="3" t="str">
        <f t="shared" si="28"/>
        <v>Low Risk</v>
      </c>
      <c r="P961" s="3" t="str">
        <f t="shared" si="29"/>
        <v>24-25</v>
      </c>
    </row>
    <row r="962" spans="1:16">
      <c r="A962" t="s">
        <v>996</v>
      </c>
      <c r="B962">
        <v>18</v>
      </c>
      <c r="C962" t="s">
        <v>5</v>
      </c>
      <c r="D962">
        <v>99.69</v>
      </c>
      <c r="E962">
        <v>1</v>
      </c>
      <c r="F962">
        <v>6.66</v>
      </c>
      <c r="G962">
        <v>25.25</v>
      </c>
      <c r="H962">
        <v>88.87</v>
      </c>
      <c r="I962">
        <v>0</v>
      </c>
      <c r="J962">
        <v>0</v>
      </c>
      <c r="K962">
        <f>(StudentData[[#This Row],[Midterm_Grade]]*40%)+(StudentData[[#This Row],[Final_Grade]]*60%)</f>
        <v>63.422000000000004</v>
      </c>
      <c r="L962">
        <f>StudentData[[#This Row],[Attendance_Percentage]]*40%+StudentData[[#This Row],[Assignments_Completed]]*2+StudentData[[#This Row],[Class_Participation]]*2+StudentData[[#This Row],[Projects_Submitted]]*4</f>
        <v>55.196000000000005</v>
      </c>
      <c r="M962">
        <f>StudentData[[#This Row],[Academic_Score]]*60%+StudentData[[#This Row],[Engagement_Score]]*30%+MIN(StudentData[[#This Row],[Study_Hours_per_Week]],20)/20*100*10%</f>
        <v>54.612000000000009</v>
      </c>
      <c r="N962" s="3" t="str" cm="1">
        <f t="array" ref="N96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62" s="3" t="str">
        <f t="shared" ref="O962:O1001" si="30">IF(AND(D962&lt;60,K962&lt;50),"High Risk",IF(OR(D962&lt;70,K962&lt;60),"Medium Risk","Low Risk"))</f>
        <v>Low Risk</v>
      </c>
      <c r="P962" s="3" t="str">
        <f t="shared" ref="P962:P1001" si="31">IF(B962&lt;=20,"18-20",IF(B962&lt;=23,"21-23","24-25"))</f>
        <v>18-20</v>
      </c>
    </row>
    <row r="963" spans="1:16">
      <c r="A963" t="s">
        <v>997</v>
      </c>
      <c r="B963">
        <v>18</v>
      </c>
      <c r="C963" t="s">
        <v>4</v>
      </c>
      <c r="D963">
        <v>94.02</v>
      </c>
      <c r="E963">
        <v>6</v>
      </c>
      <c r="F963">
        <v>9.89</v>
      </c>
      <c r="G963">
        <v>44.28</v>
      </c>
      <c r="H963">
        <v>6.17</v>
      </c>
      <c r="I963">
        <v>16</v>
      </c>
      <c r="J963">
        <v>4</v>
      </c>
      <c r="K963">
        <f>(StudentData[[#This Row],[Midterm_Grade]]*40%)+(StudentData[[#This Row],[Final_Grade]]*60%)</f>
        <v>21.414000000000001</v>
      </c>
      <c r="L963">
        <f>StudentData[[#This Row],[Attendance_Percentage]]*40%+StudentData[[#This Row],[Assignments_Completed]]*2+StudentData[[#This Row],[Class_Participation]]*2+StudentData[[#This Row],[Projects_Submitted]]*4</f>
        <v>85.388000000000005</v>
      </c>
      <c r="M963">
        <f>StudentData[[#This Row],[Academic_Score]]*60%+StudentData[[#This Row],[Engagement_Score]]*30%+MIN(StudentData[[#This Row],[Study_Hours_per_Week]],20)/20*100*10%</f>
        <v>46.464800000000004</v>
      </c>
      <c r="N963" s="3" t="str" cm="1">
        <f t="array" ref="N96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63" s="3" t="str">
        <f t="shared" si="30"/>
        <v>Medium Risk</v>
      </c>
      <c r="P963" s="3" t="str">
        <f t="shared" si="31"/>
        <v>18-20</v>
      </c>
    </row>
    <row r="964" spans="1:16">
      <c r="A964" t="s">
        <v>998</v>
      </c>
      <c r="B964">
        <v>23</v>
      </c>
      <c r="C964" t="s">
        <v>5</v>
      </c>
      <c r="D964">
        <v>81.17</v>
      </c>
      <c r="E964">
        <v>2</v>
      </c>
      <c r="F964">
        <v>2.2599999999999998</v>
      </c>
      <c r="G964">
        <v>84.73</v>
      </c>
      <c r="H964">
        <v>45.01</v>
      </c>
      <c r="I964">
        <v>12</v>
      </c>
      <c r="J964">
        <v>4</v>
      </c>
      <c r="K964">
        <f>(StudentData[[#This Row],[Midterm_Grade]]*40%)+(StudentData[[#This Row],[Final_Grade]]*60%)</f>
        <v>60.897999999999996</v>
      </c>
      <c r="L964">
        <f>StudentData[[#This Row],[Attendance_Percentage]]*40%+StudentData[[#This Row],[Assignments_Completed]]*2+StudentData[[#This Row],[Class_Participation]]*2+StudentData[[#This Row],[Projects_Submitted]]*4</f>
        <v>56.988</v>
      </c>
      <c r="M964">
        <f>StudentData[[#This Row],[Academic_Score]]*60%+StudentData[[#This Row],[Engagement_Score]]*30%+MIN(StudentData[[#This Row],[Study_Hours_per_Week]],20)/20*100*10%</f>
        <v>59.635199999999998</v>
      </c>
      <c r="N964" s="3" t="str" cm="1">
        <f t="array" ref="N964">_xlfn.IFS(StudentData[[#This Row],[Success_Score]]&gt;=85,"Exceptional",StudentData[[#This Row],[Success_Score]]&gt;=70,"Strong",StudentData[[#This Row],[Success_Score]]&gt;=55,"Developing",TRUE,"Needs Improvement")</f>
        <v>Developing</v>
      </c>
      <c r="O964" s="3" t="str">
        <f t="shared" si="30"/>
        <v>Low Risk</v>
      </c>
      <c r="P964" s="3" t="str">
        <f t="shared" si="31"/>
        <v>21-23</v>
      </c>
    </row>
    <row r="965" spans="1:16">
      <c r="A965" t="s">
        <v>999</v>
      </c>
      <c r="B965">
        <v>24</v>
      </c>
      <c r="C965" t="s">
        <v>4</v>
      </c>
      <c r="D965">
        <v>78.47</v>
      </c>
      <c r="E965">
        <v>3</v>
      </c>
      <c r="F965">
        <v>3.9</v>
      </c>
      <c r="G965">
        <v>20.6</v>
      </c>
      <c r="H965">
        <v>20.47</v>
      </c>
      <c r="I965">
        <v>14</v>
      </c>
      <c r="J965">
        <v>3</v>
      </c>
      <c r="K965">
        <f>(StudentData[[#This Row],[Midterm_Grade]]*40%)+(StudentData[[#This Row],[Final_Grade]]*60%)</f>
        <v>20.521999999999998</v>
      </c>
      <c r="L965">
        <f>StudentData[[#This Row],[Attendance_Percentage]]*40%+StudentData[[#This Row],[Assignments_Completed]]*2+StudentData[[#This Row],[Class_Participation]]*2+StudentData[[#This Row],[Projects_Submitted]]*4</f>
        <v>57.188000000000002</v>
      </c>
      <c r="M965">
        <f>StudentData[[#This Row],[Academic_Score]]*60%+StudentData[[#This Row],[Engagement_Score]]*30%+MIN(StudentData[[#This Row],[Study_Hours_per_Week]],20)/20*100*10%</f>
        <v>36.4696</v>
      </c>
      <c r="N965" s="3" t="str" cm="1">
        <f t="array" ref="N96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65" s="3" t="str">
        <f t="shared" si="30"/>
        <v>Medium Risk</v>
      </c>
      <c r="P965" s="3" t="str">
        <f t="shared" si="31"/>
        <v>24-25</v>
      </c>
    </row>
    <row r="966" spans="1:16">
      <c r="A966" t="s">
        <v>1000</v>
      </c>
      <c r="B966">
        <v>24</v>
      </c>
      <c r="C966" t="s">
        <v>6</v>
      </c>
      <c r="D966">
        <v>81.03</v>
      </c>
      <c r="E966">
        <v>2</v>
      </c>
      <c r="F966">
        <v>4.8</v>
      </c>
      <c r="G966">
        <v>95.21</v>
      </c>
      <c r="H966">
        <v>56.65</v>
      </c>
      <c r="I966">
        <v>15</v>
      </c>
      <c r="J966">
        <v>0</v>
      </c>
      <c r="K966">
        <f>(StudentData[[#This Row],[Midterm_Grade]]*40%)+(StudentData[[#This Row],[Final_Grade]]*60%)</f>
        <v>72.073999999999984</v>
      </c>
      <c r="L966">
        <f>StudentData[[#This Row],[Attendance_Percentage]]*40%+StudentData[[#This Row],[Assignments_Completed]]*2+StudentData[[#This Row],[Class_Participation]]*2+StudentData[[#This Row],[Projects_Submitted]]*4</f>
        <v>46.012</v>
      </c>
      <c r="M966">
        <f>StudentData[[#This Row],[Academic_Score]]*60%+StudentData[[#This Row],[Engagement_Score]]*30%+MIN(StudentData[[#This Row],[Study_Hours_per_Week]],20)/20*100*10%</f>
        <v>64.547999999999988</v>
      </c>
      <c r="N966" s="3" t="str" cm="1">
        <f t="array" ref="N966">_xlfn.IFS(StudentData[[#This Row],[Success_Score]]&gt;=85,"Exceptional",StudentData[[#This Row],[Success_Score]]&gt;=70,"Strong",StudentData[[#This Row],[Success_Score]]&gt;=55,"Developing",TRUE,"Needs Improvement")</f>
        <v>Developing</v>
      </c>
      <c r="O966" s="3" t="str">
        <f t="shared" si="30"/>
        <v>Low Risk</v>
      </c>
      <c r="P966" s="3" t="str">
        <f t="shared" si="31"/>
        <v>24-25</v>
      </c>
    </row>
    <row r="967" spans="1:16">
      <c r="A967" t="s">
        <v>1001</v>
      </c>
      <c r="B967">
        <v>18</v>
      </c>
      <c r="C967" t="s">
        <v>5</v>
      </c>
      <c r="D967">
        <v>60.07</v>
      </c>
      <c r="E967">
        <v>2</v>
      </c>
      <c r="F967">
        <v>1.38</v>
      </c>
      <c r="G967">
        <v>34.19</v>
      </c>
      <c r="H967">
        <v>64.95</v>
      </c>
      <c r="I967">
        <v>15</v>
      </c>
      <c r="J967">
        <v>2</v>
      </c>
      <c r="K967">
        <f>(StudentData[[#This Row],[Midterm_Grade]]*40%)+(StudentData[[#This Row],[Final_Grade]]*60%)</f>
        <v>52.646000000000001</v>
      </c>
      <c r="L967">
        <f>StudentData[[#This Row],[Attendance_Percentage]]*40%+StudentData[[#This Row],[Assignments_Completed]]*2+StudentData[[#This Row],[Class_Participation]]*2+StudentData[[#This Row],[Projects_Submitted]]*4</f>
        <v>38.788000000000004</v>
      </c>
      <c r="M967">
        <f>StudentData[[#This Row],[Academic_Score]]*60%+StudentData[[#This Row],[Engagement_Score]]*30%+MIN(StudentData[[#This Row],[Study_Hours_per_Week]],20)/20*100*10%</f>
        <v>50.723999999999997</v>
      </c>
      <c r="N967" s="3" t="str" cm="1">
        <f t="array" ref="N96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67" s="3" t="str">
        <f t="shared" si="30"/>
        <v>Medium Risk</v>
      </c>
      <c r="P967" s="3" t="str">
        <f t="shared" si="31"/>
        <v>18-20</v>
      </c>
    </row>
    <row r="968" spans="1:16">
      <c r="A968" t="s">
        <v>1002</v>
      </c>
      <c r="B968">
        <v>22</v>
      </c>
      <c r="C968" t="s">
        <v>6</v>
      </c>
      <c r="D968">
        <v>69.760000000000005</v>
      </c>
      <c r="E968">
        <v>3</v>
      </c>
      <c r="F968">
        <v>0.81</v>
      </c>
      <c r="G968">
        <v>98.58</v>
      </c>
      <c r="H968">
        <v>30.26</v>
      </c>
      <c r="I968">
        <v>1</v>
      </c>
      <c r="J968">
        <v>2</v>
      </c>
      <c r="K968">
        <f>(StudentData[[#This Row],[Midterm_Grade]]*40%)+(StudentData[[#This Row],[Final_Grade]]*60%)</f>
        <v>57.588000000000001</v>
      </c>
      <c r="L968">
        <f>StudentData[[#This Row],[Attendance_Percentage]]*40%+StudentData[[#This Row],[Assignments_Completed]]*2+StudentData[[#This Row],[Class_Participation]]*2+StudentData[[#This Row],[Projects_Submitted]]*4</f>
        <v>43.524000000000001</v>
      </c>
      <c r="M968">
        <f>StudentData[[#This Row],[Academic_Score]]*60%+StudentData[[#This Row],[Engagement_Score]]*30%+MIN(StudentData[[#This Row],[Study_Hours_per_Week]],20)/20*100*10%</f>
        <v>48.11</v>
      </c>
      <c r="N968" s="3" t="str" cm="1">
        <f t="array" ref="N96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68" s="3" t="str">
        <f t="shared" si="30"/>
        <v>Medium Risk</v>
      </c>
      <c r="P968" s="3" t="str">
        <f t="shared" si="31"/>
        <v>21-23</v>
      </c>
    </row>
    <row r="969" spans="1:16">
      <c r="A969" t="s">
        <v>1003</v>
      </c>
      <c r="B969">
        <v>23</v>
      </c>
      <c r="C969" t="s">
        <v>5</v>
      </c>
      <c r="D969">
        <v>51.97</v>
      </c>
      <c r="E969">
        <v>4</v>
      </c>
      <c r="F969">
        <v>8.3000000000000007</v>
      </c>
      <c r="G969">
        <v>83.86</v>
      </c>
      <c r="H969">
        <v>46</v>
      </c>
      <c r="I969">
        <v>16</v>
      </c>
      <c r="J969">
        <v>0</v>
      </c>
      <c r="K969">
        <f>(StudentData[[#This Row],[Midterm_Grade]]*40%)+(StudentData[[#This Row],[Final_Grade]]*60%)</f>
        <v>61.144000000000005</v>
      </c>
      <c r="L969">
        <f>StudentData[[#This Row],[Attendance_Percentage]]*40%+StudentData[[#This Row],[Assignments_Completed]]*2+StudentData[[#This Row],[Class_Participation]]*2+StudentData[[#This Row],[Projects_Submitted]]*4</f>
        <v>45.388000000000005</v>
      </c>
      <c r="M969">
        <f>StudentData[[#This Row],[Academic_Score]]*60%+StudentData[[#This Row],[Engagement_Score]]*30%+MIN(StudentData[[#This Row],[Study_Hours_per_Week]],20)/20*100*10%</f>
        <v>58.302799999999998</v>
      </c>
      <c r="N969" s="3" t="str" cm="1">
        <f t="array" ref="N969">_xlfn.IFS(StudentData[[#This Row],[Success_Score]]&gt;=85,"Exceptional",StudentData[[#This Row],[Success_Score]]&gt;=70,"Strong",StudentData[[#This Row],[Success_Score]]&gt;=55,"Developing",TRUE,"Needs Improvement")</f>
        <v>Developing</v>
      </c>
      <c r="O969" s="3" t="str">
        <f t="shared" si="30"/>
        <v>Medium Risk</v>
      </c>
      <c r="P969" s="3" t="str">
        <f t="shared" si="31"/>
        <v>21-23</v>
      </c>
    </row>
    <row r="970" spans="1:16">
      <c r="A970" t="s">
        <v>1004</v>
      </c>
      <c r="B970">
        <v>23</v>
      </c>
      <c r="C970" t="s">
        <v>4</v>
      </c>
      <c r="D970">
        <v>73.78</v>
      </c>
      <c r="E970">
        <v>0</v>
      </c>
      <c r="F970">
        <v>9.77</v>
      </c>
      <c r="G970">
        <v>80.86</v>
      </c>
      <c r="H970">
        <v>27.93</v>
      </c>
      <c r="I970">
        <v>10</v>
      </c>
      <c r="J970">
        <v>0</v>
      </c>
      <c r="K970">
        <f>(StudentData[[#This Row],[Midterm_Grade]]*40%)+(StudentData[[#This Row],[Final_Grade]]*60%)</f>
        <v>49.102000000000004</v>
      </c>
      <c r="L970">
        <f>StudentData[[#This Row],[Attendance_Percentage]]*40%+StudentData[[#This Row],[Assignments_Completed]]*2+StudentData[[#This Row],[Class_Participation]]*2+StudentData[[#This Row],[Projects_Submitted]]*4</f>
        <v>49.052</v>
      </c>
      <c r="M970">
        <f>StudentData[[#This Row],[Academic_Score]]*60%+StudentData[[#This Row],[Engagement_Score]]*30%+MIN(StudentData[[#This Row],[Study_Hours_per_Week]],20)/20*100*10%</f>
        <v>49.1768</v>
      </c>
      <c r="N970" s="3" t="str" cm="1">
        <f t="array" ref="N97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70" s="3" t="str">
        <f t="shared" si="30"/>
        <v>Medium Risk</v>
      </c>
      <c r="P970" s="3" t="str">
        <f t="shared" si="31"/>
        <v>21-23</v>
      </c>
    </row>
    <row r="971" spans="1:16">
      <c r="A971" t="s">
        <v>1005</v>
      </c>
      <c r="B971">
        <v>20</v>
      </c>
      <c r="C971" t="s">
        <v>4</v>
      </c>
      <c r="D971">
        <v>77.150000000000006</v>
      </c>
      <c r="E971">
        <v>3</v>
      </c>
      <c r="F971">
        <v>4.05</v>
      </c>
      <c r="G971">
        <v>31.79</v>
      </c>
      <c r="H971">
        <v>36.94</v>
      </c>
      <c r="I971">
        <v>7</v>
      </c>
      <c r="J971">
        <v>5</v>
      </c>
      <c r="K971">
        <f>(StudentData[[#This Row],[Midterm_Grade]]*40%)+(StudentData[[#This Row],[Final_Grade]]*60%)</f>
        <v>34.879999999999995</v>
      </c>
      <c r="L971">
        <f>StudentData[[#This Row],[Attendance_Percentage]]*40%+StudentData[[#This Row],[Assignments_Completed]]*2+StudentData[[#This Row],[Class_Participation]]*2+StudentData[[#This Row],[Projects_Submitted]]*4</f>
        <v>64.960000000000008</v>
      </c>
      <c r="M971">
        <f>StudentData[[#This Row],[Academic_Score]]*60%+StudentData[[#This Row],[Engagement_Score]]*30%+MIN(StudentData[[#This Row],[Study_Hours_per_Week]],20)/20*100*10%</f>
        <v>43.915999999999997</v>
      </c>
      <c r="N971" s="3" t="str" cm="1">
        <f t="array" ref="N97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71" s="3" t="str">
        <f t="shared" si="30"/>
        <v>Medium Risk</v>
      </c>
      <c r="P971" s="3" t="str">
        <f t="shared" si="31"/>
        <v>18-20</v>
      </c>
    </row>
    <row r="972" spans="1:16">
      <c r="A972" t="s">
        <v>1006</v>
      </c>
      <c r="B972">
        <v>25</v>
      </c>
      <c r="C972" t="s">
        <v>4</v>
      </c>
      <c r="D972">
        <v>61.39</v>
      </c>
      <c r="E972">
        <v>10</v>
      </c>
      <c r="F972">
        <v>0.88</v>
      </c>
      <c r="G972">
        <v>0.88</v>
      </c>
      <c r="H972">
        <v>15.95</v>
      </c>
      <c r="I972">
        <v>19</v>
      </c>
      <c r="J972">
        <v>1</v>
      </c>
      <c r="K972">
        <f>(StudentData[[#This Row],[Midterm_Grade]]*40%)+(StudentData[[#This Row],[Final_Grade]]*60%)</f>
        <v>9.9219999999999988</v>
      </c>
      <c r="L972">
        <f>StudentData[[#This Row],[Attendance_Percentage]]*40%+StudentData[[#This Row],[Assignments_Completed]]*2+StudentData[[#This Row],[Class_Participation]]*2+StudentData[[#This Row],[Projects_Submitted]]*4</f>
        <v>50.315999999999995</v>
      </c>
      <c r="M972">
        <f>StudentData[[#This Row],[Academic_Score]]*60%+StudentData[[#This Row],[Engagement_Score]]*30%+MIN(StudentData[[#This Row],[Study_Hours_per_Week]],20)/20*100*10%</f>
        <v>30.547999999999995</v>
      </c>
      <c r="N972" s="3" t="str" cm="1">
        <f t="array" ref="N97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72" s="3" t="str">
        <f t="shared" si="30"/>
        <v>Medium Risk</v>
      </c>
      <c r="P972" s="3" t="str">
        <f t="shared" si="31"/>
        <v>24-25</v>
      </c>
    </row>
    <row r="973" spans="1:16">
      <c r="A973" t="s">
        <v>1007</v>
      </c>
      <c r="B973">
        <v>24</v>
      </c>
      <c r="C973" t="s">
        <v>4</v>
      </c>
      <c r="D973">
        <v>98.2</v>
      </c>
      <c r="E973">
        <v>7</v>
      </c>
      <c r="F973">
        <v>0.66</v>
      </c>
      <c r="G973">
        <v>38.21</v>
      </c>
      <c r="H973">
        <v>88.56</v>
      </c>
      <c r="I973">
        <v>2</v>
      </c>
      <c r="J973">
        <v>3</v>
      </c>
      <c r="K973">
        <f>(StudentData[[#This Row],[Midterm_Grade]]*40%)+(StudentData[[#This Row],[Final_Grade]]*60%)</f>
        <v>68.42</v>
      </c>
      <c r="L973">
        <f>StudentData[[#This Row],[Attendance_Percentage]]*40%+StudentData[[#This Row],[Assignments_Completed]]*2+StudentData[[#This Row],[Class_Participation]]*2+StudentData[[#This Row],[Projects_Submitted]]*4</f>
        <v>66.599999999999994</v>
      </c>
      <c r="M973">
        <f>StudentData[[#This Row],[Academic_Score]]*60%+StudentData[[#This Row],[Engagement_Score]]*30%+MIN(StudentData[[#This Row],[Study_Hours_per_Week]],20)/20*100*10%</f>
        <v>62.031999999999996</v>
      </c>
      <c r="N973" s="3" t="str" cm="1">
        <f t="array" ref="N973">_xlfn.IFS(StudentData[[#This Row],[Success_Score]]&gt;=85,"Exceptional",StudentData[[#This Row],[Success_Score]]&gt;=70,"Strong",StudentData[[#This Row],[Success_Score]]&gt;=55,"Developing",TRUE,"Needs Improvement")</f>
        <v>Developing</v>
      </c>
      <c r="O973" s="3" t="str">
        <f t="shared" si="30"/>
        <v>Low Risk</v>
      </c>
      <c r="P973" s="3" t="str">
        <f t="shared" si="31"/>
        <v>24-25</v>
      </c>
    </row>
    <row r="974" spans="1:16">
      <c r="A974" t="s">
        <v>1008</v>
      </c>
      <c r="B974">
        <v>18</v>
      </c>
      <c r="C974" t="s">
        <v>4</v>
      </c>
      <c r="D974">
        <v>95.47</v>
      </c>
      <c r="E974">
        <v>9</v>
      </c>
      <c r="F974">
        <v>8.91</v>
      </c>
      <c r="G974">
        <v>30.18</v>
      </c>
      <c r="H974">
        <v>1</v>
      </c>
      <c r="I974">
        <v>11</v>
      </c>
      <c r="J974">
        <v>0</v>
      </c>
      <c r="K974">
        <f>(StudentData[[#This Row],[Midterm_Grade]]*40%)+(StudentData[[#This Row],[Final_Grade]]*60%)</f>
        <v>12.672000000000001</v>
      </c>
      <c r="L974">
        <f>StudentData[[#This Row],[Attendance_Percentage]]*40%+StudentData[[#This Row],[Assignments_Completed]]*2+StudentData[[#This Row],[Class_Participation]]*2+StudentData[[#This Row],[Projects_Submitted]]*4</f>
        <v>74.00800000000001</v>
      </c>
      <c r="M974">
        <f>StudentData[[#This Row],[Academic_Score]]*60%+StudentData[[#This Row],[Engagement_Score]]*30%+MIN(StudentData[[#This Row],[Study_Hours_per_Week]],20)/20*100*10%</f>
        <v>35.305600000000005</v>
      </c>
      <c r="N974" s="3" t="str" cm="1">
        <f t="array" ref="N97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74" s="3" t="str">
        <f t="shared" si="30"/>
        <v>Medium Risk</v>
      </c>
      <c r="P974" s="3" t="str">
        <f t="shared" si="31"/>
        <v>18-20</v>
      </c>
    </row>
    <row r="975" spans="1:16">
      <c r="A975" t="s">
        <v>1009</v>
      </c>
      <c r="B975">
        <v>20</v>
      </c>
      <c r="C975" t="s">
        <v>5</v>
      </c>
      <c r="D975">
        <v>86.11</v>
      </c>
      <c r="E975">
        <v>6</v>
      </c>
      <c r="F975">
        <v>4.6399999999999997</v>
      </c>
      <c r="G975">
        <v>3.74</v>
      </c>
      <c r="H975">
        <v>88.24</v>
      </c>
      <c r="I975">
        <v>19</v>
      </c>
      <c r="J975">
        <v>0</v>
      </c>
      <c r="K975">
        <f>(StudentData[[#This Row],[Midterm_Grade]]*40%)+(StudentData[[#This Row],[Final_Grade]]*60%)</f>
        <v>54.44</v>
      </c>
      <c r="L975">
        <f>StudentData[[#This Row],[Attendance_Percentage]]*40%+StudentData[[#This Row],[Assignments_Completed]]*2+StudentData[[#This Row],[Class_Participation]]*2+StudentData[[#This Row],[Projects_Submitted]]*4</f>
        <v>55.724000000000004</v>
      </c>
      <c r="M975">
        <f>StudentData[[#This Row],[Academic_Score]]*60%+StudentData[[#This Row],[Engagement_Score]]*30%+MIN(StudentData[[#This Row],[Study_Hours_per_Week]],20)/20*100*10%</f>
        <v>58.881199999999993</v>
      </c>
      <c r="N975" s="3" t="str" cm="1">
        <f t="array" ref="N975">_xlfn.IFS(StudentData[[#This Row],[Success_Score]]&gt;=85,"Exceptional",StudentData[[#This Row],[Success_Score]]&gt;=70,"Strong",StudentData[[#This Row],[Success_Score]]&gt;=55,"Developing",TRUE,"Needs Improvement")</f>
        <v>Developing</v>
      </c>
      <c r="O975" s="3" t="str">
        <f t="shared" si="30"/>
        <v>Medium Risk</v>
      </c>
      <c r="P975" s="3" t="str">
        <f t="shared" si="31"/>
        <v>18-20</v>
      </c>
    </row>
    <row r="976" spans="1:16">
      <c r="A976" t="s">
        <v>1010</v>
      </c>
      <c r="B976">
        <v>21</v>
      </c>
      <c r="C976" t="s">
        <v>5</v>
      </c>
      <c r="D976">
        <v>76.67</v>
      </c>
      <c r="E976">
        <v>8</v>
      </c>
      <c r="F976">
        <v>3.2</v>
      </c>
      <c r="G976">
        <v>50.54</v>
      </c>
      <c r="H976">
        <v>57.17</v>
      </c>
      <c r="I976">
        <v>15</v>
      </c>
      <c r="J976">
        <v>1</v>
      </c>
      <c r="K976">
        <f>(StudentData[[#This Row],[Midterm_Grade]]*40%)+(StudentData[[#This Row],[Final_Grade]]*60%)</f>
        <v>54.518000000000001</v>
      </c>
      <c r="L976">
        <f>StudentData[[#This Row],[Attendance_Percentage]]*40%+StudentData[[#This Row],[Assignments_Completed]]*2+StudentData[[#This Row],[Class_Participation]]*2+StudentData[[#This Row],[Projects_Submitted]]*4</f>
        <v>57.068000000000005</v>
      </c>
      <c r="M976">
        <f>StudentData[[#This Row],[Academic_Score]]*60%+StudentData[[#This Row],[Engagement_Score]]*30%+MIN(StudentData[[#This Row],[Study_Hours_per_Week]],20)/20*100*10%</f>
        <v>57.331199999999995</v>
      </c>
      <c r="N976" s="3" t="str" cm="1">
        <f t="array" ref="N976">_xlfn.IFS(StudentData[[#This Row],[Success_Score]]&gt;=85,"Exceptional",StudentData[[#This Row],[Success_Score]]&gt;=70,"Strong",StudentData[[#This Row],[Success_Score]]&gt;=55,"Developing",TRUE,"Needs Improvement")</f>
        <v>Developing</v>
      </c>
      <c r="O976" s="3" t="str">
        <f t="shared" si="30"/>
        <v>Medium Risk</v>
      </c>
      <c r="P976" s="3" t="str">
        <f t="shared" si="31"/>
        <v>21-23</v>
      </c>
    </row>
    <row r="977" spans="1:16">
      <c r="A977" t="s">
        <v>1011</v>
      </c>
      <c r="B977">
        <v>19</v>
      </c>
      <c r="C977" t="s">
        <v>4</v>
      </c>
      <c r="D977">
        <v>93.5</v>
      </c>
      <c r="E977">
        <v>4</v>
      </c>
      <c r="F977">
        <v>4.76</v>
      </c>
      <c r="G977">
        <v>40.299999999999997</v>
      </c>
      <c r="H977">
        <v>33.17</v>
      </c>
      <c r="I977">
        <v>13</v>
      </c>
      <c r="J977">
        <v>1</v>
      </c>
      <c r="K977">
        <f>(StudentData[[#This Row],[Midterm_Grade]]*40%)+(StudentData[[#This Row],[Final_Grade]]*60%)</f>
        <v>36.022000000000006</v>
      </c>
      <c r="L977">
        <f>StudentData[[#This Row],[Attendance_Percentage]]*40%+StudentData[[#This Row],[Assignments_Completed]]*2+StudentData[[#This Row],[Class_Participation]]*2+StudentData[[#This Row],[Projects_Submitted]]*4</f>
        <v>58.92</v>
      </c>
      <c r="M977">
        <f>StudentData[[#This Row],[Academic_Score]]*60%+StudentData[[#This Row],[Engagement_Score]]*30%+MIN(StudentData[[#This Row],[Study_Hours_per_Week]],20)/20*100*10%</f>
        <v>45.789200000000001</v>
      </c>
      <c r="N977" s="3" t="str" cm="1">
        <f t="array" ref="N97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77" s="3" t="str">
        <f t="shared" si="30"/>
        <v>Medium Risk</v>
      </c>
      <c r="P977" s="3" t="str">
        <f t="shared" si="31"/>
        <v>18-20</v>
      </c>
    </row>
    <row r="978" spans="1:16">
      <c r="A978" t="s">
        <v>1012</v>
      </c>
      <c r="B978">
        <v>25</v>
      </c>
      <c r="C978" t="s">
        <v>4</v>
      </c>
      <c r="D978">
        <v>56.53</v>
      </c>
      <c r="E978">
        <v>9</v>
      </c>
      <c r="F978">
        <v>3.18</v>
      </c>
      <c r="G978">
        <v>63.46</v>
      </c>
      <c r="H978">
        <v>72.31</v>
      </c>
      <c r="I978">
        <v>15</v>
      </c>
      <c r="J978">
        <v>4</v>
      </c>
      <c r="K978">
        <f>(StudentData[[#This Row],[Midterm_Grade]]*40%)+(StudentData[[#This Row],[Final_Grade]]*60%)</f>
        <v>68.77000000000001</v>
      </c>
      <c r="L978">
        <f>StudentData[[#This Row],[Attendance_Percentage]]*40%+StudentData[[#This Row],[Assignments_Completed]]*2+StudentData[[#This Row],[Class_Participation]]*2+StudentData[[#This Row],[Projects_Submitted]]*4</f>
        <v>62.972000000000001</v>
      </c>
      <c r="M978">
        <f>StudentData[[#This Row],[Academic_Score]]*60%+StudentData[[#This Row],[Engagement_Score]]*30%+MIN(StudentData[[#This Row],[Study_Hours_per_Week]],20)/20*100*10%</f>
        <v>67.653600000000012</v>
      </c>
      <c r="N978" s="3" t="str" cm="1">
        <f t="array" ref="N978">_xlfn.IFS(StudentData[[#This Row],[Success_Score]]&gt;=85,"Exceptional",StudentData[[#This Row],[Success_Score]]&gt;=70,"Strong",StudentData[[#This Row],[Success_Score]]&gt;=55,"Developing",TRUE,"Needs Improvement")</f>
        <v>Developing</v>
      </c>
      <c r="O978" s="3" t="str">
        <f t="shared" si="30"/>
        <v>Medium Risk</v>
      </c>
      <c r="P978" s="3" t="str">
        <f t="shared" si="31"/>
        <v>24-25</v>
      </c>
    </row>
    <row r="979" spans="1:16">
      <c r="A979" t="s">
        <v>1013</v>
      </c>
      <c r="B979">
        <v>25</v>
      </c>
      <c r="C979" t="s">
        <v>4</v>
      </c>
      <c r="D979">
        <v>89.53</v>
      </c>
      <c r="E979">
        <v>3</v>
      </c>
      <c r="F979">
        <v>4.8899999999999997</v>
      </c>
      <c r="G979">
        <v>62.12</v>
      </c>
      <c r="H979">
        <v>50.78</v>
      </c>
      <c r="I979">
        <v>16</v>
      </c>
      <c r="J979">
        <v>2</v>
      </c>
      <c r="K979">
        <f>(StudentData[[#This Row],[Midterm_Grade]]*40%)+(StudentData[[#This Row],[Final_Grade]]*60%)</f>
        <v>55.316000000000003</v>
      </c>
      <c r="L979">
        <f>StudentData[[#This Row],[Attendance_Percentage]]*40%+StudentData[[#This Row],[Assignments_Completed]]*2+StudentData[[#This Row],[Class_Participation]]*2+StudentData[[#This Row],[Projects_Submitted]]*4</f>
        <v>59.592000000000006</v>
      </c>
      <c r="M979">
        <f>StudentData[[#This Row],[Academic_Score]]*60%+StudentData[[#This Row],[Engagement_Score]]*30%+MIN(StudentData[[#This Row],[Study_Hours_per_Week]],20)/20*100*10%</f>
        <v>59.0672</v>
      </c>
      <c r="N979" s="3" t="str" cm="1">
        <f t="array" ref="N979">_xlfn.IFS(StudentData[[#This Row],[Success_Score]]&gt;=85,"Exceptional",StudentData[[#This Row],[Success_Score]]&gt;=70,"Strong",StudentData[[#This Row],[Success_Score]]&gt;=55,"Developing",TRUE,"Needs Improvement")</f>
        <v>Developing</v>
      </c>
      <c r="O979" s="3" t="str">
        <f t="shared" si="30"/>
        <v>Medium Risk</v>
      </c>
      <c r="P979" s="3" t="str">
        <f t="shared" si="31"/>
        <v>24-25</v>
      </c>
    </row>
    <row r="980" spans="1:16">
      <c r="A980" t="s">
        <v>1014</v>
      </c>
      <c r="B980">
        <v>25</v>
      </c>
      <c r="C980" t="s">
        <v>4</v>
      </c>
      <c r="D980">
        <v>56.24</v>
      </c>
      <c r="E980">
        <v>7</v>
      </c>
      <c r="F980">
        <v>8.6</v>
      </c>
      <c r="G980">
        <v>12.07</v>
      </c>
      <c r="H980">
        <v>49.91</v>
      </c>
      <c r="I980">
        <v>10</v>
      </c>
      <c r="J980">
        <v>3</v>
      </c>
      <c r="K980">
        <f>(StudentData[[#This Row],[Midterm_Grade]]*40%)+(StudentData[[#This Row],[Final_Grade]]*60%)</f>
        <v>34.774000000000001</v>
      </c>
      <c r="L980">
        <f>StudentData[[#This Row],[Attendance_Percentage]]*40%+StudentData[[#This Row],[Assignments_Completed]]*2+StudentData[[#This Row],[Class_Participation]]*2+StudentData[[#This Row],[Projects_Submitted]]*4</f>
        <v>65.695999999999998</v>
      </c>
      <c r="M980">
        <f>StudentData[[#This Row],[Academic_Score]]*60%+StudentData[[#This Row],[Engagement_Score]]*30%+MIN(StudentData[[#This Row],[Study_Hours_per_Week]],20)/20*100*10%</f>
        <v>45.5732</v>
      </c>
      <c r="N980" s="3" t="str" cm="1">
        <f t="array" ref="N98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80" s="3" t="str">
        <f t="shared" si="30"/>
        <v>High Risk</v>
      </c>
      <c r="P980" s="3" t="str">
        <f t="shared" si="31"/>
        <v>24-25</v>
      </c>
    </row>
    <row r="981" spans="1:16">
      <c r="A981" t="s">
        <v>1015</v>
      </c>
      <c r="B981">
        <v>23</v>
      </c>
      <c r="C981" t="s">
        <v>5</v>
      </c>
      <c r="D981">
        <v>89.71</v>
      </c>
      <c r="E981">
        <v>8</v>
      </c>
      <c r="F981">
        <v>5.92</v>
      </c>
      <c r="G981">
        <v>97.7</v>
      </c>
      <c r="H981">
        <v>11.01</v>
      </c>
      <c r="I981">
        <v>16</v>
      </c>
      <c r="J981">
        <v>4</v>
      </c>
      <c r="K981">
        <f>(StudentData[[#This Row],[Midterm_Grade]]*40%)+(StudentData[[#This Row],[Final_Grade]]*60%)</f>
        <v>45.686000000000007</v>
      </c>
      <c r="L981">
        <f>StudentData[[#This Row],[Attendance_Percentage]]*40%+StudentData[[#This Row],[Assignments_Completed]]*2+StudentData[[#This Row],[Class_Participation]]*2+StudentData[[#This Row],[Projects_Submitted]]*4</f>
        <v>79.724000000000004</v>
      </c>
      <c r="M981">
        <f>StudentData[[#This Row],[Academic_Score]]*60%+StudentData[[#This Row],[Engagement_Score]]*30%+MIN(StudentData[[#This Row],[Study_Hours_per_Week]],20)/20*100*10%</f>
        <v>59.328800000000001</v>
      </c>
      <c r="N981" s="3" t="str" cm="1">
        <f t="array" ref="N981">_xlfn.IFS(StudentData[[#This Row],[Success_Score]]&gt;=85,"Exceptional",StudentData[[#This Row],[Success_Score]]&gt;=70,"Strong",StudentData[[#This Row],[Success_Score]]&gt;=55,"Developing",TRUE,"Needs Improvement")</f>
        <v>Developing</v>
      </c>
      <c r="O981" s="3" t="str">
        <f t="shared" si="30"/>
        <v>Medium Risk</v>
      </c>
      <c r="P981" s="3" t="str">
        <f t="shared" si="31"/>
        <v>21-23</v>
      </c>
    </row>
    <row r="982" spans="1:16">
      <c r="A982" t="s">
        <v>1016</v>
      </c>
      <c r="B982">
        <v>21</v>
      </c>
      <c r="C982" t="s">
        <v>4</v>
      </c>
      <c r="D982">
        <v>63.79</v>
      </c>
      <c r="E982">
        <v>6</v>
      </c>
      <c r="F982">
        <v>6.95</v>
      </c>
      <c r="G982">
        <v>18.690000000000001</v>
      </c>
      <c r="H982">
        <v>38.950000000000003</v>
      </c>
      <c r="I982">
        <v>18</v>
      </c>
      <c r="J982">
        <v>0</v>
      </c>
      <c r="K982">
        <f>(StudentData[[#This Row],[Midterm_Grade]]*40%)+(StudentData[[#This Row],[Final_Grade]]*60%)</f>
        <v>30.846000000000004</v>
      </c>
      <c r="L982">
        <f>StudentData[[#This Row],[Attendance_Percentage]]*40%+StudentData[[#This Row],[Assignments_Completed]]*2+StudentData[[#This Row],[Class_Participation]]*2+StudentData[[#This Row],[Projects_Submitted]]*4</f>
        <v>51.416000000000004</v>
      </c>
      <c r="M982">
        <f>StudentData[[#This Row],[Academic_Score]]*60%+StudentData[[#This Row],[Engagement_Score]]*30%+MIN(StudentData[[#This Row],[Study_Hours_per_Week]],20)/20*100*10%</f>
        <v>42.932400000000001</v>
      </c>
      <c r="N982" s="3" t="str" cm="1">
        <f t="array" ref="N98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82" s="3" t="str">
        <f t="shared" si="30"/>
        <v>Medium Risk</v>
      </c>
      <c r="P982" s="3" t="str">
        <f t="shared" si="31"/>
        <v>21-23</v>
      </c>
    </row>
    <row r="983" spans="1:16">
      <c r="A983" t="s">
        <v>1017</v>
      </c>
      <c r="B983">
        <v>25</v>
      </c>
      <c r="C983" t="s">
        <v>5</v>
      </c>
      <c r="D983">
        <v>93.85</v>
      </c>
      <c r="E983">
        <v>6</v>
      </c>
      <c r="F983">
        <v>3.65</v>
      </c>
      <c r="G983">
        <v>44.53</v>
      </c>
      <c r="H983">
        <v>24.11</v>
      </c>
      <c r="I983">
        <v>0</v>
      </c>
      <c r="J983">
        <v>1</v>
      </c>
      <c r="K983">
        <f>(StudentData[[#This Row],[Midterm_Grade]]*40%)+(StudentData[[#This Row],[Final_Grade]]*60%)</f>
        <v>32.277999999999999</v>
      </c>
      <c r="L983">
        <f>StudentData[[#This Row],[Attendance_Percentage]]*40%+StudentData[[#This Row],[Assignments_Completed]]*2+StudentData[[#This Row],[Class_Participation]]*2+StudentData[[#This Row],[Projects_Submitted]]*4</f>
        <v>60.839999999999996</v>
      </c>
      <c r="M983">
        <f>StudentData[[#This Row],[Academic_Score]]*60%+StudentData[[#This Row],[Engagement_Score]]*30%+MIN(StudentData[[#This Row],[Study_Hours_per_Week]],20)/20*100*10%</f>
        <v>37.618799999999993</v>
      </c>
      <c r="N983" s="3" t="str" cm="1">
        <f t="array" ref="N98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83" s="3" t="str">
        <f t="shared" si="30"/>
        <v>Medium Risk</v>
      </c>
      <c r="P983" s="3" t="str">
        <f t="shared" si="31"/>
        <v>24-25</v>
      </c>
    </row>
    <row r="984" spans="1:16">
      <c r="A984" t="s">
        <v>1018</v>
      </c>
      <c r="B984">
        <v>21</v>
      </c>
      <c r="C984" t="s">
        <v>4</v>
      </c>
      <c r="D984">
        <v>97.2</v>
      </c>
      <c r="E984">
        <v>4</v>
      </c>
      <c r="F984">
        <v>7.39</v>
      </c>
      <c r="G984">
        <v>48.81</v>
      </c>
      <c r="H984">
        <v>1.57</v>
      </c>
      <c r="I984">
        <v>11</v>
      </c>
      <c r="J984">
        <v>5</v>
      </c>
      <c r="K984">
        <f>(StudentData[[#This Row],[Midterm_Grade]]*40%)+(StudentData[[#This Row],[Final_Grade]]*60%)</f>
        <v>20.466000000000001</v>
      </c>
      <c r="L984">
        <f>StudentData[[#This Row],[Attendance_Percentage]]*40%+StudentData[[#This Row],[Assignments_Completed]]*2+StudentData[[#This Row],[Class_Participation]]*2+StudentData[[#This Row],[Projects_Submitted]]*4</f>
        <v>81.66</v>
      </c>
      <c r="M984">
        <f>StudentData[[#This Row],[Academic_Score]]*60%+StudentData[[#This Row],[Engagement_Score]]*30%+MIN(StudentData[[#This Row],[Study_Hours_per_Week]],20)/20*100*10%</f>
        <v>42.2776</v>
      </c>
      <c r="N984" s="3" t="str" cm="1">
        <f t="array" ref="N98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84" s="3" t="str">
        <f t="shared" si="30"/>
        <v>Medium Risk</v>
      </c>
      <c r="P984" s="3" t="str">
        <f t="shared" si="31"/>
        <v>21-23</v>
      </c>
    </row>
    <row r="985" spans="1:16">
      <c r="A985" t="s">
        <v>1019</v>
      </c>
      <c r="B985">
        <v>22</v>
      </c>
      <c r="C985" t="s">
        <v>5</v>
      </c>
      <c r="D985">
        <v>57.44</v>
      </c>
      <c r="E985">
        <v>3</v>
      </c>
      <c r="F985">
        <v>6.67</v>
      </c>
      <c r="G985">
        <v>81.31</v>
      </c>
      <c r="H985">
        <v>36.01</v>
      </c>
      <c r="I985">
        <v>14</v>
      </c>
      <c r="J985">
        <v>2</v>
      </c>
      <c r="K985">
        <f>(StudentData[[#This Row],[Midterm_Grade]]*40%)+(StudentData[[#This Row],[Final_Grade]]*60%)</f>
        <v>54.129999999999995</v>
      </c>
      <c r="L985">
        <f>StudentData[[#This Row],[Attendance_Percentage]]*40%+StudentData[[#This Row],[Assignments_Completed]]*2+StudentData[[#This Row],[Class_Participation]]*2+StudentData[[#This Row],[Projects_Submitted]]*4</f>
        <v>50.316000000000003</v>
      </c>
      <c r="M985">
        <f>StudentData[[#This Row],[Academic_Score]]*60%+StudentData[[#This Row],[Engagement_Score]]*30%+MIN(StudentData[[#This Row],[Study_Hours_per_Week]],20)/20*100*10%</f>
        <v>54.572799999999994</v>
      </c>
      <c r="N985" s="3" t="str" cm="1">
        <f t="array" ref="N985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85" s="3" t="str">
        <f t="shared" si="30"/>
        <v>Medium Risk</v>
      </c>
      <c r="P985" s="3" t="str">
        <f t="shared" si="31"/>
        <v>21-23</v>
      </c>
    </row>
    <row r="986" spans="1:16">
      <c r="A986" t="s">
        <v>1020</v>
      </c>
      <c r="B986">
        <v>25</v>
      </c>
      <c r="C986" t="s">
        <v>5</v>
      </c>
      <c r="D986">
        <v>73.13</v>
      </c>
      <c r="E986">
        <v>9</v>
      </c>
      <c r="F986">
        <v>1.2</v>
      </c>
      <c r="G986">
        <v>9.92</v>
      </c>
      <c r="H986">
        <v>8.98</v>
      </c>
      <c r="I986">
        <v>17</v>
      </c>
      <c r="J986">
        <v>4</v>
      </c>
      <c r="K986">
        <f>(StudentData[[#This Row],[Midterm_Grade]]*40%)+(StudentData[[#This Row],[Final_Grade]]*60%)</f>
        <v>9.3559999999999999</v>
      </c>
      <c r="L986">
        <f>StudentData[[#This Row],[Attendance_Percentage]]*40%+StudentData[[#This Row],[Assignments_Completed]]*2+StudentData[[#This Row],[Class_Participation]]*2+StudentData[[#This Row],[Projects_Submitted]]*4</f>
        <v>65.651999999999987</v>
      </c>
      <c r="M986">
        <f>StudentData[[#This Row],[Academic_Score]]*60%+StudentData[[#This Row],[Engagement_Score]]*30%+MIN(StudentData[[#This Row],[Study_Hours_per_Week]],20)/20*100*10%</f>
        <v>33.809199999999997</v>
      </c>
      <c r="N986" s="3" t="str" cm="1">
        <f t="array" ref="N98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86" s="3" t="str">
        <f t="shared" si="30"/>
        <v>Medium Risk</v>
      </c>
      <c r="P986" s="3" t="str">
        <f t="shared" si="31"/>
        <v>24-25</v>
      </c>
    </row>
    <row r="987" spans="1:16">
      <c r="A987" t="s">
        <v>1021</v>
      </c>
      <c r="B987">
        <v>19</v>
      </c>
      <c r="C987" t="s">
        <v>5</v>
      </c>
      <c r="D987">
        <v>99.05</v>
      </c>
      <c r="E987">
        <v>0</v>
      </c>
      <c r="F987">
        <v>5.73</v>
      </c>
      <c r="G987">
        <v>42.86</v>
      </c>
      <c r="H987">
        <v>25.68</v>
      </c>
      <c r="I987">
        <v>13</v>
      </c>
      <c r="J987">
        <v>5</v>
      </c>
      <c r="K987">
        <f>(StudentData[[#This Row],[Midterm_Grade]]*40%)+(StudentData[[#This Row],[Final_Grade]]*60%)</f>
        <v>32.552</v>
      </c>
      <c r="L987">
        <f>StudentData[[#This Row],[Attendance_Percentage]]*40%+StudentData[[#This Row],[Assignments_Completed]]*2+StudentData[[#This Row],[Class_Participation]]*2+StudentData[[#This Row],[Projects_Submitted]]*4</f>
        <v>71.080000000000013</v>
      </c>
      <c r="M987">
        <f>StudentData[[#This Row],[Academic_Score]]*60%+StudentData[[#This Row],[Engagement_Score]]*30%+MIN(StudentData[[#This Row],[Study_Hours_per_Week]],20)/20*100*10%</f>
        <v>47.355199999999996</v>
      </c>
      <c r="N987" s="3" t="str" cm="1">
        <f t="array" ref="N987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87" s="3" t="str">
        <f t="shared" si="30"/>
        <v>Medium Risk</v>
      </c>
      <c r="P987" s="3" t="str">
        <f t="shared" si="31"/>
        <v>18-20</v>
      </c>
    </row>
    <row r="988" spans="1:16">
      <c r="A988" t="s">
        <v>1022</v>
      </c>
      <c r="B988">
        <v>21</v>
      </c>
      <c r="C988" t="s">
        <v>5</v>
      </c>
      <c r="D988">
        <v>74.17</v>
      </c>
      <c r="E988">
        <v>9</v>
      </c>
      <c r="F988">
        <v>2.57</v>
      </c>
      <c r="G988">
        <v>62.85</v>
      </c>
      <c r="H988">
        <v>9.25</v>
      </c>
      <c r="I988">
        <v>0</v>
      </c>
      <c r="J988">
        <v>2</v>
      </c>
      <c r="K988">
        <f>(StudentData[[#This Row],[Midterm_Grade]]*40%)+(StudentData[[#This Row],[Final_Grade]]*60%)</f>
        <v>30.69</v>
      </c>
      <c r="L988">
        <f>StudentData[[#This Row],[Attendance_Percentage]]*40%+StudentData[[#This Row],[Assignments_Completed]]*2+StudentData[[#This Row],[Class_Participation]]*2+StudentData[[#This Row],[Projects_Submitted]]*4</f>
        <v>60.808000000000007</v>
      </c>
      <c r="M988">
        <f>StudentData[[#This Row],[Academic_Score]]*60%+StudentData[[#This Row],[Engagement_Score]]*30%+MIN(StudentData[[#This Row],[Study_Hours_per_Week]],20)/20*100*10%</f>
        <v>36.656400000000005</v>
      </c>
      <c r="N988" s="3" t="str" cm="1">
        <f t="array" ref="N98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88" s="3" t="str">
        <f t="shared" si="30"/>
        <v>Medium Risk</v>
      </c>
      <c r="P988" s="3" t="str">
        <f t="shared" si="31"/>
        <v>21-23</v>
      </c>
    </row>
    <row r="989" spans="1:16">
      <c r="A989" t="s">
        <v>1023</v>
      </c>
      <c r="B989">
        <v>21</v>
      </c>
      <c r="C989" t="s">
        <v>4</v>
      </c>
      <c r="D989">
        <v>93.18</v>
      </c>
      <c r="E989">
        <v>9</v>
      </c>
      <c r="F989">
        <v>8.0399999999999991</v>
      </c>
      <c r="G989">
        <v>21.52</v>
      </c>
      <c r="H989">
        <v>10.09</v>
      </c>
      <c r="I989">
        <v>12</v>
      </c>
      <c r="J989">
        <v>5</v>
      </c>
      <c r="K989">
        <f>(StudentData[[#This Row],[Midterm_Grade]]*40%)+(StudentData[[#This Row],[Final_Grade]]*60%)</f>
        <v>14.661999999999999</v>
      </c>
      <c r="L989">
        <f>StudentData[[#This Row],[Attendance_Percentage]]*40%+StudentData[[#This Row],[Assignments_Completed]]*2+StudentData[[#This Row],[Class_Participation]]*2+StudentData[[#This Row],[Projects_Submitted]]*4</f>
        <v>91.352000000000004</v>
      </c>
      <c r="M989">
        <f>StudentData[[#This Row],[Academic_Score]]*60%+StudentData[[#This Row],[Engagement_Score]]*30%+MIN(StudentData[[#This Row],[Study_Hours_per_Week]],20)/20*100*10%</f>
        <v>42.202799999999996</v>
      </c>
      <c r="N989" s="3" t="str" cm="1">
        <f t="array" ref="N98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89" s="3" t="str">
        <f t="shared" si="30"/>
        <v>Medium Risk</v>
      </c>
      <c r="P989" s="3" t="str">
        <f t="shared" si="31"/>
        <v>21-23</v>
      </c>
    </row>
    <row r="990" spans="1:16">
      <c r="A990" t="s">
        <v>1024</v>
      </c>
      <c r="B990">
        <v>19</v>
      </c>
      <c r="C990" t="s">
        <v>5</v>
      </c>
      <c r="D990">
        <v>79.44</v>
      </c>
      <c r="E990">
        <v>6</v>
      </c>
      <c r="F990">
        <v>4.26</v>
      </c>
      <c r="G990">
        <v>62.75</v>
      </c>
      <c r="H990">
        <v>19.899999999999999</v>
      </c>
      <c r="I990">
        <v>14</v>
      </c>
      <c r="J990">
        <v>1</v>
      </c>
      <c r="K990">
        <f>(StudentData[[#This Row],[Midterm_Grade]]*40%)+(StudentData[[#This Row],[Final_Grade]]*60%)</f>
        <v>37.04</v>
      </c>
      <c r="L990">
        <f>StudentData[[#This Row],[Attendance_Percentage]]*40%+StudentData[[#This Row],[Assignments_Completed]]*2+StudentData[[#This Row],[Class_Participation]]*2+StudentData[[#This Row],[Projects_Submitted]]*4</f>
        <v>56.295999999999992</v>
      </c>
      <c r="M990">
        <f>StudentData[[#This Row],[Academic_Score]]*60%+StudentData[[#This Row],[Engagement_Score]]*30%+MIN(StudentData[[#This Row],[Study_Hours_per_Week]],20)/20*100*10%</f>
        <v>46.112799999999993</v>
      </c>
      <c r="N990" s="3" t="str" cm="1">
        <f t="array" ref="N990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90" s="3" t="str">
        <f t="shared" si="30"/>
        <v>Medium Risk</v>
      </c>
      <c r="P990" s="3" t="str">
        <f t="shared" si="31"/>
        <v>18-20</v>
      </c>
    </row>
    <row r="991" spans="1:16">
      <c r="A991" t="s">
        <v>1025</v>
      </c>
      <c r="B991">
        <v>25</v>
      </c>
      <c r="C991" t="s">
        <v>5</v>
      </c>
      <c r="D991">
        <v>68.77</v>
      </c>
      <c r="E991">
        <v>0</v>
      </c>
      <c r="F991">
        <v>9.9499999999999993</v>
      </c>
      <c r="G991">
        <v>92.37</v>
      </c>
      <c r="H991">
        <v>99.98</v>
      </c>
      <c r="I991">
        <v>6</v>
      </c>
      <c r="J991">
        <v>4</v>
      </c>
      <c r="K991">
        <f>(StudentData[[#This Row],[Midterm_Grade]]*40%)+(StudentData[[#This Row],[Final_Grade]]*60%)</f>
        <v>96.936000000000007</v>
      </c>
      <c r="L991">
        <f>StudentData[[#This Row],[Attendance_Percentage]]*40%+StudentData[[#This Row],[Assignments_Completed]]*2+StudentData[[#This Row],[Class_Participation]]*2+StudentData[[#This Row],[Projects_Submitted]]*4</f>
        <v>63.408000000000001</v>
      </c>
      <c r="M991">
        <f>StudentData[[#This Row],[Academic_Score]]*60%+StudentData[[#This Row],[Engagement_Score]]*30%+MIN(StudentData[[#This Row],[Study_Hours_per_Week]],20)/20*100*10%</f>
        <v>80.183999999999997</v>
      </c>
      <c r="N991" s="3" t="str" cm="1">
        <f t="array" ref="N991">_xlfn.IFS(StudentData[[#This Row],[Success_Score]]&gt;=85,"Exceptional",StudentData[[#This Row],[Success_Score]]&gt;=70,"Strong",StudentData[[#This Row],[Success_Score]]&gt;=55,"Developing",TRUE,"Needs Improvement")</f>
        <v>Strong</v>
      </c>
      <c r="O991" s="3" t="str">
        <f t="shared" si="30"/>
        <v>Medium Risk</v>
      </c>
      <c r="P991" s="3" t="str">
        <f t="shared" si="31"/>
        <v>24-25</v>
      </c>
    </row>
    <row r="992" spans="1:16">
      <c r="A992" t="s">
        <v>1026</v>
      </c>
      <c r="B992">
        <v>19</v>
      </c>
      <c r="C992" t="s">
        <v>5</v>
      </c>
      <c r="D992">
        <v>64.290000000000006</v>
      </c>
      <c r="E992">
        <v>0</v>
      </c>
      <c r="F992">
        <v>0.93</v>
      </c>
      <c r="G992">
        <v>99.75</v>
      </c>
      <c r="H992">
        <v>0.22</v>
      </c>
      <c r="I992">
        <v>14</v>
      </c>
      <c r="J992">
        <v>4</v>
      </c>
      <c r="K992">
        <f>(StudentData[[#This Row],[Midterm_Grade]]*40%)+(StudentData[[#This Row],[Final_Grade]]*60%)</f>
        <v>40.032000000000004</v>
      </c>
      <c r="L992">
        <f>StudentData[[#This Row],[Attendance_Percentage]]*40%+StudentData[[#This Row],[Assignments_Completed]]*2+StudentData[[#This Row],[Class_Participation]]*2+StudentData[[#This Row],[Projects_Submitted]]*4</f>
        <v>43.576000000000008</v>
      </c>
      <c r="M992">
        <f>StudentData[[#This Row],[Academic_Score]]*60%+StudentData[[#This Row],[Engagement_Score]]*30%+MIN(StudentData[[#This Row],[Study_Hours_per_Week]],20)/20*100*10%</f>
        <v>44.092000000000006</v>
      </c>
      <c r="N992" s="3" t="str" cm="1">
        <f t="array" ref="N992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92" s="3" t="str">
        <f t="shared" si="30"/>
        <v>Medium Risk</v>
      </c>
      <c r="P992" s="3" t="str">
        <f t="shared" si="31"/>
        <v>18-20</v>
      </c>
    </row>
    <row r="993" spans="1:16">
      <c r="A993" t="s">
        <v>1027</v>
      </c>
      <c r="B993">
        <v>21</v>
      </c>
      <c r="C993" t="s">
        <v>5</v>
      </c>
      <c r="D993">
        <v>60.16</v>
      </c>
      <c r="E993">
        <v>4</v>
      </c>
      <c r="F993">
        <v>7.8</v>
      </c>
      <c r="G993">
        <v>3.25</v>
      </c>
      <c r="H993">
        <v>63.87</v>
      </c>
      <c r="I993">
        <v>19</v>
      </c>
      <c r="J993">
        <v>2</v>
      </c>
      <c r="K993">
        <f>(StudentData[[#This Row],[Midterm_Grade]]*40%)+(StudentData[[#This Row],[Final_Grade]]*60%)</f>
        <v>39.621999999999993</v>
      </c>
      <c r="L993">
        <f>StudentData[[#This Row],[Attendance_Percentage]]*40%+StudentData[[#This Row],[Assignments_Completed]]*2+StudentData[[#This Row],[Class_Participation]]*2+StudentData[[#This Row],[Projects_Submitted]]*4</f>
        <v>55.664000000000001</v>
      </c>
      <c r="M993">
        <f>StudentData[[#This Row],[Academic_Score]]*60%+StudentData[[#This Row],[Engagement_Score]]*30%+MIN(StudentData[[#This Row],[Study_Hours_per_Week]],20)/20*100*10%</f>
        <v>49.972399999999993</v>
      </c>
      <c r="N993" s="3" t="str" cm="1">
        <f t="array" ref="N993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93" s="3" t="str">
        <f t="shared" si="30"/>
        <v>Medium Risk</v>
      </c>
      <c r="P993" s="3" t="str">
        <f t="shared" si="31"/>
        <v>21-23</v>
      </c>
    </row>
    <row r="994" spans="1:16">
      <c r="A994" t="s">
        <v>1028</v>
      </c>
      <c r="B994">
        <v>19</v>
      </c>
      <c r="C994" t="s">
        <v>5</v>
      </c>
      <c r="D994">
        <v>88.09</v>
      </c>
      <c r="E994">
        <v>8</v>
      </c>
      <c r="F994">
        <v>6.74</v>
      </c>
      <c r="G994">
        <v>23.56</v>
      </c>
      <c r="H994">
        <v>14.12</v>
      </c>
      <c r="I994">
        <v>9</v>
      </c>
      <c r="J994">
        <v>5</v>
      </c>
      <c r="K994">
        <f>(StudentData[[#This Row],[Midterm_Grade]]*40%)+(StudentData[[#This Row],[Final_Grade]]*60%)</f>
        <v>17.896000000000001</v>
      </c>
      <c r="L994">
        <f>StudentData[[#This Row],[Attendance_Percentage]]*40%+StudentData[[#This Row],[Assignments_Completed]]*2+StudentData[[#This Row],[Class_Participation]]*2+StudentData[[#This Row],[Projects_Submitted]]*4</f>
        <v>84.716000000000008</v>
      </c>
      <c r="M994">
        <f>StudentData[[#This Row],[Academic_Score]]*60%+StudentData[[#This Row],[Engagement_Score]]*30%+MIN(StudentData[[#This Row],[Study_Hours_per_Week]],20)/20*100*10%</f>
        <v>40.6524</v>
      </c>
      <c r="N994" s="3" t="str" cm="1">
        <f t="array" ref="N994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94" s="3" t="str">
        <f t="shared" si="30"/>
        <v>Medium Risk</v>
      </c>
      <c r="P994" s="3" t="str">
        <f t="shared" si="31"/>
        <v>18-20</v>
      </c>
    </row>
    <row r="995" spans="1:16">
      <c r="A995" t="s">
        <v>1029</v>
      </c>
      <c r="B995">
        <v>21</v>
      </c>
      <c r="C995" t="s">
        <v>5</v>
      </c>
      <c r="D995">
        <v>69.33</v>
      </c>
      <c r="E995">
        <v>5</v>
      </c>
      <c r="F995">
        <v>7.67</v>
      </c>
      <c r="G995">
        <v>31.03</v>
      </c>
      <c r="H995">
        <v>92.06</v>
      </c>
      <c r="I995">
        <v>13</v>
      </c>
      <c r="J995">
        <v>1</v>
      </c>
      <c r="K995">
        <f>(StudentData[[#This Row],[Midterm_Grade]]*40%)+(StudentData[[#This Row],[Final_Grade]]*60%)</f>
        <v>67.647999999999996</v>
      </c>
      <c r="L995">
        <f>StudentData[[#This Row],[Attendance_Percentage]]*40%+StudentData[[#This Row],[Assignments_Completed]]*2+StudentData[[#This Row],[Class_Participation]]*2+StudentData[[#This Row],[Projects_Submitted]]*4</f>
        <v>57.072000000000003</v>
      </c>
      <c r="M995">
        <f>StudentData[[#This Row],[Academic_Score]]*60%+StudentData[[#This Row],[Engagement_Score]]*30%+MIN(StudentData[[#This Row],[Study_Hours_per_Week]],20)/20*100*10%</f>
        <v>64.210399999999993</v>
      </c>
      <c r="N995" s="3" t="str" cm="1">
        <f t="array" ref="N995">_xlfn.IFS(StudentData[[#This Row],[Success_Score]]&gt;=85,"Exceptional",StudentData[[#This Row],[Success_Score]]&gt;=70,"Strong",StudentData[[#This Row],[Success_Score]]&gt;=55,"Developing",TRUE,"Needs Improvement")</f>
        <v>Developing</v>
      </c>
      <c r="O995" s="3" t="str">
        <f t="shared" si="30"/>
        <v>Medium Risk</v>
      </c>
      <c r="P995" s="3" t="str">
        <f t="shared" si="31"/>
        <v>21-23</v>
      </c>
    </row>
    <row r="996" spans="1:16">
      <c r="A996" t="s">
        <v>1030</v>
      </c>
      <c r="B996">
        <v>21</v>
      </c>
      <c r="C996" t="s">
        <v>4</v>
      </c>
      <c r="D996">
        <v>75.56</v>
      </c>
      <c r="E996">
        <v>2</v>
      </c>
      <c r="F996">
        <v>3.08</v>
      </c>
      <c r="G996">
        <v>39.909999999999997</v>
      </c>
      <c r="H996">
        <v>9.36</v>
      </c>
      <c r="I996">
        <v>5</v>
      </c>
      <c r="J996">
        <v>0</v>
      </c>
      <c r="K996">
        <f>(StudentData[[#This Row],[Midterm_Grade]]*40%)+(StudentData[[#This Row],[Final_Grade]]*60%)</f>
        <v>21.58</v>
      </c>
      <c r="L996">
        <f>StudentData[[#This Row],[Attendance_Percentage]]*40%+StudentData[[#This Row],[Assignments_Completed]]*2+StudentData[[#This Row],[Class_Participation]]*2+StudentData[[#This Row],[Projects_Submitted]]*4</f>
        <v>40.384</v>
      </c>
      <c r="M996">
        <f>StudentData[[#This Row],[Academic_Score]]*60%+StudentData[[#This Row],[Engagement_Score]]*30%+MIN(StudentData[[#This Row],[Study_Hours_per_Week]],20)/20*100*10%</f>
        <v>27.563199999999998</v>
      </c>
      <c r="N996" s="3" t="str" cm="1">
        <f t="array" ref="N996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96" s="3" t="str">
        <f t="shared" si="30"/>
        <v>Medium Risk</v>
      </c>
      <c r="P996" s="3" t="str">
        <f t="shared" si="31"/>
        <v>21-23</v>
      </c>
    </row>
    <row r="997" spans="1:16">
      <c r="A997" t="s">
        <v>1031</v>
      </c>
      <c r="B997">
        <v>22</v>
      </c>
      <c r="C997" t="s">
        <v>4</v>
      </c>
      <c r="D997">
        <v>74.62</v>
      </c>
      <c r="E997">
        <v>2</v>
      </c>
      <c r="F997">
        <v>4.92</v>
      </c>
      <c r="G997">
        <v>24.23</v>
      </c>
      <c r="H997">
        <v>95.51</v>
      </c>
      <c r="I997">
        <v>13</v>
      </c>
      <c r="J997">
        <v>4</v>
      </c>
      <c r="K997">
        <f>(StudentData[[#This Row],[Midterm_Grade]]*40%)+(StudentData[[#This Row],[Final_Grade]]*60%)</f>
        <v>66.998000000000005</v>
      </c>
      <c r="L997">
        <f>StudentData[[#This Row],[Attendance_Percentage]]*40%+StudentData[[#This Row],[Assignments_Completed]]*2+StudentData[[#This Row],[Class_Participation]]*2+StudentData[[#This Row],[Projects_Submitted]]*4</f>
        <v>59.688000000000002</v>
      </c>
      <c r="M997">
        <f>StudentData[[#This Row],[Academic_Score]]*60%+StudentData[[#This Row],[Engagement_Score]]*30%+MIN(StudentData[[#This Row],[Study_Hours_per_Week]],20)/20*100*10%</f>
        <v>64.605199999999996</v>
      </c>
      <c r="N997" s="3" t="str" cm="1">
        <f t="array" ref="N997">_xlfn.IFS(StudentData[[#This Row],[Success_Score]]&gt;=85,"Exceptional",StudentData[[#This Row],[Success_Score]]&gt;=70,"Strong",StudentData[[#This Row],[Success_Score]]&gt;=55,"Developing",TRUE,"Needs Improvement")</f>
        <v>Developing</v>
      </c>
      <c r="O997" s="3" t="str">
        <f t="shared" si="30"/>
        <v>Low Risk</v>
      </c>
      <c r="P997" s="3" t="str">
        <f t="shared" si="31"/>
        <v>21-23</v>
      </c>
    </row>
    <row r="998" spans="1:16">
      <c r="A998" t="s">
        <v>1032</v>
      </c>
      <c r="B998">
        <v>18</v>
      </c>
      <c r="C998" t="s">
        <v>4</v>
      </c>
      <c r="D998">
        <v>78.86</v>
      </c>
      <c r="E998">
        <v>6</v>
      </c>
      <c r="F998">
        <v>7.97</v>
      </c>
      <c r="G998">
        <v>20.350000000000001</v>
      </c>
      <c r="H998">
        <v>61.09</v>
      </c>
      <c r="I998">
        <v>11</v>
      </c>
      <c r="J998">
        <v>0</v>
      </c>
      <c r="K998">
        <f>(StudentData[[#This Row],[Midterm_Grade]]*40%)+(StudentData[[#This Row],[Final_Grade]]*60%)</f>
        <v>44.794000000000004</v>
      </c>
      <c r="L998">
        <f>StudentData[[#This Row],[Attendance_Percentage]]*40%+StudentData[[#This Row],[Assignments_Completed]]*2+StudentData[[#This Row],[Class_Participation]]*2+StudentData[[#This Row],[Projects_Submitted]]*4</f>
        <v>59.483999999999995</v>
      </c>
      <c r="M998">
        <f>StudentData[[#This Row],[Academic_Score]]*60%+StudentData[[#This Row],[Engagement_Score]]*30%+MIN(StudentData[[#This Row],[Study_Hours_per_Week]],20)/20*100*10%</f>
        <v>50.221599999999995</v>
      </c>
      <c r="N998" s="3" t="str" cm="1">
        <f t="array" ref="N998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98" s="3" t="str">
        <f t="shared" si="30"/>
        <v>Medium Risk</v>
      </c>
      <c r="P998" s="3" t="str">
        <f t="shared" si="31"/>
        <v>18-20</v>
      </c>
    </row>
    <row r="999" spans="1:16">
      <c r="A999" t="s">
        <v>1033</v>
      </c>
      <c r="B999">
        <v>21</v>
      </c>
      <c r="C999" t="s">
        <v>4</v>
      </c>
      <c r="D999">
        <v>93.28</v>
      </c>
      <c r="E999">
        <v>5</v>
      </c>
      <c r="F999">
        <v>2.33</v>
      </c>
      <c r="G999">
        <v>95.46</v>
      </c>
      <c r="H999">
        <v>0.13</v>
      </c>
      <c r="I999">
        <v>10</v>
      </c>
      <c r="J999">
        <v>1</v>
      </c>
      <c r="K999">
        <f>(StudentData[[#This Row],[Midterm_Grade]]*40%)+(StudentData[[#This Row],[Final_Grade]]*60%)</f>
        <v>38.262</v>
      </c>
      <c r="L999">
        <f>StudentData[[#This Row],[Attendance_Percentage]]*40%+StudentData[[#This Row],[Assignments_Completed]]*2+StudentData[[#This Row],[Class_Participation]]*2+StudentData[[#This Row],[Projects_Submitted]]*4</f>
        <v>55.972000000000008</v>
      </c>
      <c r="M999">
        <f>StudentData[[#This Row],[Academic_Score]]*60%+StudentData[[#This Row],[Engagement_Score]]*30%+MIN(StudentData[[#This Row],[Study_Hours_per_Week]],20)/20*100*10%</f>
        <v>44.748800000000003</v>
      </c>
      <c r="N999" s="3" t="str" cm="1">
        <f t="array" ref="N999">_xlfn.IFS(StudentData[[#This Row],[Success_Score]]&gt;=85,"Exceptional",StudentData[[#This Row],[Success_Score]]&gt;=70,"Strong",StudentData[[#This Row],[Success_Score]]&gt;=55,"Developing",TRUE,"Needs Improvement")</f>
        <v>Needs Improvement</v>
      </c>
      <c r="O999" s="3" t="str">
        <f t="shared" si="30"/>
        <v>Medium Risk</v>
      </c>
      <c r="P999" s="3" t="str">
        <f t="shared" si="31"/>
        <v>21-23</v>
      </c>
    </row>
    <row r="1000" spans="1:16">
      <c r="A1000" t="s">
        <v>1034</v>
      </c>
      <c r="B1000">
        <v>25</v>
      </c>
      <c r="C1000" t="s">
        <v>5</v>
      </c>
      <c r="D1000">
        <v>99.04</v>
      </c>
      <c r="E1000">
        <v>8</v>
      </c>
      <c r="F1000">
        <v>2.2599999999999998</v>
      </c>
      <c r="G1000">
        <v>91.85</v>
      </c>
      <c r="H1000">
        <v>89.4</v>
      </c>
      <c r="I1000">
        <v>19</v>
      </c>
      <c r="J1000">
        <v>4</v>
      </c>
      <c r="K1000">
        <f>(StudentData[[#This Row],[Midterm_Grade]]*40%)+(StudentData[[#This Row],[Final_Grade]]*60%)</f>
        <v>90.38</v>
      </c>
      <c r="L1000">
        <f>StudentData[[#This Row],[Attendance_Percentage]]*40%+StudentData[[#This Row],[Assignments_Completed]]*2+StudentData[[#This Row],[Class_Participation]]*2+StudentData[[#This Row],[Projects_Submitted]]*4</f>
        <v>76.13600000000001</v>
      </c>
      <c r="M1000">
        <f>StudentData[[#This Row],[Academic_Score]]*60%+StudentData[[#This Row],[Engagement_Score]]*30%+MIN(StudentData[[#This Row],[Study_Hours_per_Week]],20)/20*100*10%</f>
        <v>86.568799999999996</v>
      </c>
      <c r="N1000" s="3" t="str" cm="1">
        <f t="array" ref="N1000">_xlfn.IFS(StudentData[[#This Row],[Success_Score]]&gt;=85,"Exceptional",StudentData[[#This Row],[Success_Score]]&gt;=70,"Strong",StudentData[[#This Row],[Success_Score]]&gt;=55,"Developing",TRUE,"Needs Improvement")</f>
        <v>Exceptional</v>
      </c>
      <c r="O1000" s="3" t="str">
        <f t="shared" si="30"/>
        <v>Low Risk</v>
      </c>
      <c r="P1000" s="3" t="str">
        <f t="shared" si="31"/>
        <v>24-25</v>
      </c>
    </row>
    <row r="1001" spans="1:16">
      <c r="A1001" t="s">
        <v>1035</v>
      </c>
      <c r="B1001">
        <v>20</v>
      </c>
      <c r="C1001" t="s">
        <v>4</v>
      </c>
      <c r="D1001">
        <v>70.38</v>
      </c>
      <c r="E1001">
        <v>5</v>
      </c>
      <c r="F1001">
        <v>5.51</v>
      </c>
      <c r="G1001">
        <v>4.7</v>
      </c>
      <c r="H1001">
        <v>52.17</v>
      </c>
      <c r="I1001">
        <v>18</v>
      </c>
      <c r="J1001">
        <v>4</v>
      </c>
      <c r="K1001">
        <f>(StudentData[[#This Row],[Midterm_Grade]]*40%)+(StudentData[[#This Row],[Final_Grade]]*60%)</f>
        <v>33.182000000000002</v>
      </c>
      <c r="L1001">
        <f>StudentData[[#This Row],[Attendance_Percentage]]*40%+StudentData[[#This Row],[Assignments_Completed]]*2+StudentData[[#This Row],[Class_Participation]]*2+StudentData[[#This Row],[Projects_Submitted]]*4</f>
        <v>65.171999999999997</v>
      </c>
      <c r="M1001">
        <f>StudentData[[#This Row],[Academic_Score]]*60%+StudentData[[#This Row],[Engagement_Score]]*30%+MIN(StudentData[[#This Row],[Study_Hours_per_Week]],20)/20*100*10%</f>
        <v>48.460799999999999</v>
      </c>
      <c r="N1001" s="3" t="str" cm="1">
        <f t="array" ref="N1001">_xlfn.IFS(StudentData[[#This Row],[Success_Score]]&gt;=85,"Exceptional",StudentData[[#This Row],[Success_Score]]&gt;=70,"Strong",StudentData[[#This Row],[Success_Score]]&gt;=55,"Developing",TRUE,"Needs Improvement")</f>
        <v>Needs Improvement</v>
      </c>
      <c r="O1001" s="3" t="str">
        <f t="shared" si="30"/>
        <v>Medium Risk</v>
      </c>
      <c r="P1001" s="3" t="str">
        <f t="shared" si="31"/>
        <v>18-20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2011-8CBF-404C-B7C3-F3AB4754EDFB}">
  <sheetPr>
    <tabColor theme="2" tint="-9.9978637043366805E-2"/>
  </sheetPr>
  <dimension ref="A1:C13"/>
  <sheetViews>
    <sheetView workbookViewId="0">
      <selection activeCell="A3" sqref="A3:B10"/>
    </sheetView>
  </sheetViews>
  <sheetFormatPr defaultRowHeight="15"/>
  <cols>
    <col min="1" max="1" width="35.5703125" customWidth="1"/>
    <col min="2" max="2" width="37.5703125" customWidth="1"/>
  </cols>
  <sheetData>
    <row r="1" spans="1:3">
      <c r="A1" s="4"/>
      <c r="B1" s="4"/>
    </row>
    <row r="2" spans="1:3" ht="19.5" customHeight="1">
      <c r="A2" s="13" t="s">
        <v>1036</v>
      </c>
      <c r="B2" s="2"/>
    </row>
    <row r="3" spans="1:3" ht="25.5" customHeight="1">
      <c r="A3" s="2" t="s">
        <v>1037</v>
      </c>
      <c r="B3" s="4">
        <f>COUNTA(StudentData[Student_ID])</f>
        <v>1000</v>
      </c>
      <c r="C3" s="4"/>
    </row>
    <row r="4" spans="1:3" ht="24" customHeight="1">
      <c r="A4" s="2" t="s">
        <v>1038</v>
      </c>
      <c r="B4" s="4">
        <f>AVERAGE(StudentData[Attendance_Percentage])</f>
        <v>74.907989999999913</v>
      </c>
      <c r="C4" s="2"/>
    </row>
    <row r="5" spans="1:3" ht="22.5" customHeight="1">
      <c r="A5" s="2" t="s">
        <v>1039</v>
      </c>
      <c r="B5" s="2">
        <f>AVERAGE(StudentData[Academic_Score])</f>
        <v>48.713713999999989</v>
      </c>
      <c r="C5" s="2"/>
    </row>
    <row r="6" spans="1:3" ht="20.25" customHeight="1">
      <c r="A6" s="2" t="s">
        <v>1040</v>
      </c>
      <c r="B6" s="2">
        <f>AVERAGE(StudentData[Engagement_Score])</f>
        <v>59.359176000000055</v>
      </c>
      <c r="C6" s="2"/>
    </row>
    <row r="7" spans="1:3" ht="21.75" customHeight="1">
      <c r="A7" s="2" t="s">
        <v>1041</v>
      </c>
      <c r="B7" s="2">
        <f>AVERAGE(StudentData[Success_Score])</f>
        <v>51.801481199999984</v>
      </c>
      <c r="C7" s="2"/>
    </row>
    <row r="8" spans="1:3" ht="30.75" customHeight="1">
      <c r="A8" s="2" t="s">
        <v>1042</v>
      </c>
      <c r="B8" s="5">
        <f>COUNTIF(studentdata!O:O,"High Risk")</f>
        <v>110</v>
      </c>
      <c r="C8" s="2"/>
    </row>
    <row r="9" spans="1:3" ht="22.5" customHeight="1">
      <c r="A9" s="2" t="s">
        <v>1043</v>
      </c>
      <c r="B9" s="5">
        <f>COUNTIF(studentdata!O:O,"Medium Risk")</f>
        <v>713</v>
      </c>
      <c r="C9" s="2"/>
    </row>
    <row r="10" spans="1:3">
      <c r="A10" t="s">
        <v>1044</v>
      </c>
      <c r="B10" s="2">
        <f>COUNTIF(studentdata!O:O,"Low Risk")</f>
        <v>177</v>
      </c>
      <c r="C10" s="2"/>
    </row>
    <row r="11" spans="1:3">
      <c r="B11" s="2"/>
      <c r="C11" s="2"/>
    </row>
    <row r="12" spans="1:3">
      <c r="B12" s="2"/>
      <c r="C12" s="2"/>
    </row>
    <row r="13" spans="1:3">
      <c r="B13" s="2"/>
    </row>
  </sheetData>
  <conditionalFormatting sqref="A3:B10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5940-0621-4EC8-97A7-6CBE96A994BD}">
  <sheetPr>
    <tabColor theme="4" tint="0.59999389629810485"/>
  </sheetPr>
  <dimension ref="A1:H6"/>
  <sheetViews>
    <sheetView workbookViewId="0">
      <selection activeCell="G4" sqref="G4"/>
    </sheetView>
  </sheetViews>
  <sheetFormatPr defaultRowHeight="15"/>
  <cols>
    <col min="1" max="1" width="22.7109375" customWidth="1"/>
    <col min="2" max="2" width="13.42578125" customWidth="1"/>
  </cols>
  <sheetData>
    <row r="1" spans="1:8" ht="18">
      <c r="A1" s="14" t="s">
        <v>1045</v>
      </c>
      <c r="B1" s="14"/>
      <c r="C1" s="14"/>
      <c r="D1" s="14"/>
      <c r="E1" s="14"/>
      <c r="F1" s="14"/>
      <c r="G1" s="14"/>
      <c r="H1" s="14"/>
    </row>
    <row r="2" spans="1:8" ht="15.75">
      <c r="A2" s="12" t="s">
        <v>1046</v>
      </c>
      <c r="B2" s="12" t="s">
        <v>1047</v>
      </c>
    </row>
    <row r="3" spans="1:8" ht="18.75">
      <c r="A3" s="6" t="s">
        <v>1037</v>
      </c>
      <c r="B3" s="9">
        <f>Analysis!B3</f>
        <v>1000</v>
      </c>
    </row>
    <row r="4" spans="1:8" ht="18.75">
      <c r="A4" s="6" t="s">
        <v>1048</v>
      </c>
      <c r="B4" s="8">
        <f>Analysis!B4</f>
        <v>74.907989999999913</v>
      </c>
    </row>
    <row r="5" spans="1:8" ht="18.75">
      <c r="A5" s="6" t="s">
        <v>1049</v>
      </c>
      <c r="B5" s="8">
        <f>Analysis!B5</f>
        <v>48.713713999999989</v>
      </c>
    </row>
    <row r="6" spans="1:8" ht="18.75">
      <c r="A6" s="1" t="s">
        <v>1050</v>
      </c>
      <c r="B6" s="8">
        <f>Analysis!B6</f>
        <v>59.359176000000055</v>
      </c>
    </row>
  </sheetData>
  <mergeCells count="1">
    <mergeCell ref="A1:H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2026-09-06T07:57:36Z</dcterms:created>
  <dcterms:modified xsi:type="dcterms:W3CDTF">2026-09-17T08:46:30Z</dcterms:modified>
  <cp:category/>
  <cp:contentStatus/>
</cp:coreProperties>
</file>